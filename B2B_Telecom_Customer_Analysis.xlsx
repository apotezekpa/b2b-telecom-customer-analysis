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EDD8466117437FCA/Documents/"/>
    </mc:Choice>
  </mc:AlternateContent>
  <xr:revisionPtr revIDLastSave="0" documentId="8_{52BBE3C9-117E-4893-90FC-2BB65395AE09}" xr6:coauthVersionLast="47" xr6:coauthVersionMax="47" xr10:uidLastSave="{00000000-0000-0000-0000-000000000000}"/>
  <bookViews>
    <workbookView xWindow="28680" yWindow="-120" windowWidth="29040" windowHeight="15720" activeTab="3" xr2:uid="{00000000-000D-0000-FFFF-FFFF00000000}"/>
  </bookViews>
  <sheets>
    <sheet name="01_Raw_Telecom_Data" sheetId="1" r:id="rId1"/>
    <sheet name="02_Cleaned_Data" sheetId="2" r:id="rId2"/>
    <sheet name="03_EDA_Analysis" sheetId="4" r:id="rId3"/>
    <sheet name="04_Dashboard" sheetId="5" r:id="rId4"/>
    <sheet name="05_Project_Guide" sheetId="3" r:id="rId5"/>
  </sheets>
  <definedNames>
    <definedName name="_xlnm._FilterDatabase" localSheetId="0" hidden="1">'01_Raw_Telecom_Data'!$A$1:$M$351</definedName>
    <definedName name="Slicer_Plan">#N/A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 i="5" l="1"/>
  <c r="H7" i="5"/>
  <c r="E7" i="5"/>
  <c r="B7" i="5"/>
</calcChain>
</file>

<file path=xl/sharedStrings.xml><?xml version="1.0" encoding="utf-8"?>
<sst xmlns="http://schemas.openxmlformats.org/spreadsheetml/2006/main" count="6436" uniqueCount="621">
  <si>
    <t>Customer ID</t>
  </si>
  <si>
    <t>Customer Name</t>
  </si>
  <si>
    <t>Region</t>
  </si>
  <si>
    <t>Account Representative</t>
  </si>
  <si>
    <t>Industry</t>
  </si>
  <si>
    <t>Service Type</t>
  </si>
  <si>
    <t>Plan</t>
  </si>
  <si>
    <t>Service Start Date</t>
  </si>
  <si>
    <t>Monthly Charge</t>
  </si>
  <si>
    <t>Number of Lines</t>
  </si>
  <si>
    <t>Customer Status</t>
  </si>
  <si>
    <t>Payment Status</t>
  </si>
  <si>
    <t>Satisfaction Score</t>
  </si>
  <si>
    <t>CUST-20001</t>
  </si>
  <si>
    <t>Clearwater Logistics</t>
  </si>
  <si>
    <t>Midwest</t>
  </si>
  <si>
    <t>Casey Brown</t>
  </si>
  <si>
    <t>Financial Services</t>
  </si>
  <si>
    <t>Business Mobile</t>
  </si>
  <si>
    <t>Business Plus</t>
  </si>
  <si>
    <t>Inactive</t>
  </si>
  <si>
    <t>Overdue</t>
  </si>
  <si>
    <t>CUST-20002</t>
  </si>
  <si>
    <t>Northstar Group</t>
  </si>
  <si>
    <t>South</t>
  </si>
  <si>
    <t>Alex Johnson</t>
  </si>
  <si>
    <t>Active</t>
  </si>
  <si>
    <t>CUST-20003</t>
  </si>
  <si>
    <t>Summit Services</t>
  </si>
  <si>
    <t>Taylor Smith</t>
  </si>
  <si>
    <t>Healthcare</t>
  </si>
  <si>
    <t>Essential</t>
  </si>
  <si>
    <t>Paid</t>
  </si>
  <si>
    <t>CUST-20004</t>
  </si>
  <si>
    <t>Prairie Enterprises</t>
  </si>
  <si>
    <t>Northeast</t>
  </si>
  <si>
    <t>Mobile + Internet</t>
  </si>
  <si>
    <t>CUST-20005</t>
  </si>
  <si>
    <t>Clearwater Services</t>
  </si>
  <si>
    <t>Retail</t>
  </si>
  <si>
    <t>Business Internet</t>
  </si>
  <si>
    <t>Premium</t>
  </si>
  <si>
    <t>CUST-20006</t>
  </si>
  <si>
    <t>Summit Technologies</t>
  </si>
  <si>
    <t>West</t>
  </si>
  <si>
    <t>Morgan Davis</t>
  </si>
  <si>
    <t>IoT Connectivity</t>
  </si>
  <si>
    <t>CUST-20007</t>
  </si>
  <si>
    <t>Oakridge Group</t>
  </si>
  <si>
    <t>Riley Wilson</t>
  </si>
  <si>
    <t>Pending</t>
  </si>
  <si>
    <t>CUST-20008</t>
  </si>
  <si>
    <t>Riverside Industries</t>
  </si>
  <si>
    <t>Manufacturing</t>
  </si>
  <si>
    <t>CUST-20009</t>
  </si>
  <si>
    <t>Parkway Partners</t>
  </si>
  <si>
    <t>Technology</t>
  </si>
  <si>
    <t>CUST-20010</t>
  </si>
  <si>
    <t>Oakridge Solutions</t>
  </si>
  <si>
    <t>Jordan Lee</t>
  </si>
  <si>
    <t>Cloud Voice</t>
  </si>
  <si>
    <t>CUST-20011</t>
  </si>
  <si>
    <t>Stonebridge Technologies</t>
  </si>
  <si>
    <t>CUST-20012</t>
  </si>
  <si>
    <t>Summit Logistics</t>
  </si>
  <si>
    <t>CUST-20013</t>
  </si>
  <si>
    <t>Brighton Industries</t>
  </si>
  <si>
    <t>CUST-20014</t>
  </si>
  <si>
    <t>BlueRiver Technologies</t>
  </si>
  <si>
    <t>CUST-20015</t>
  </si>
  <si>
    <t>CUST-20016</t>
  </si>
  <si>
    <t>CUST-20017</t>
  </si>
  <si>
    <t>CUST-20018</t>
  </si>
  <si>
    <t>BlueRiver Enterprises</t>
  </si>
  <si>
    <t>CUST-20019</t>
  </si>
  <si>
    <t>Northstar Industries</t>
  </si>
  <si>
    <t>CUST-20020</t>
  </si>
  <si>
    <t>Lakeview Manufacturing</t>
  </si>
  <si>
    <t>CUST-20021</t>
  </si>
  <si>
    <t>Prairie Logistics</t>
  </si>
  <si>
    <t>CUST-20022</t>
  </si>
  <si>
    <t>Riverside Systems</t>
  </si>
  <si>
    <t>CUST-20023</t>
  </si>
  <si>
    <t>CUST-20024</t>
  </si>
  <si>
    <t>Evergreen Enterprises</t>
  </si>
  <si>
    <t>CUST-20025</t>
  </si>
  <si>
    <t>CUST-20026</t>
  </si>
  <si>
    <t>Northstar Systems</t>
  </si>
  <si>
    <t>Logistics</t>
  </si>
  <si>
    <t>CUST-20027</t>
  </si>
  <si>
    <t>Brighton Logistics</t>
  </si>
  <si>
    <t>CUST-20028</t>
  </si>
  <si>
    <t>Granite Services</t>
  </si>
  <si>
    <t>CUST-20029</t>
  </si>
  <si>
    <t>Riverside Logistics</t>
  </si>
  <si>
    <t>CUST-20030</t>
  </si>
  <si>
    <t>Metro Partners</t>
  </si>
  <si>
    <t>CUST-20031</t>
  </si>
  <si>
    <t>Horizon Systems</t>
  </si>
  <si>
    <t>CUST-20032</t>
  </si>
  <si>
    <t>Highland Services</t>
  </si>
  <si>
    <t>CUST-20033</t>
  </si>
  <si>
    <t>Oakridge Services</t>
  </si>
  <si>
    <t>CUST-20034</t>
  </si>
  <si>
    <t>Metro Services</t>
  </si>
  <si>
    <t>CUST-20035</t>
  </si>
  <si>
    <t>Highland Solutions</t>
  </si>
  <si>
    <t>CUST-20036</t>
  </si>
  <si>
    <t>Oakridge Industries</t>
  </si>
  <si>
    <t>CUST-20037</t>
  </si>
  <si>
    <t>Summit Enterprises</t>
  </si>
  <si>
    <t>CUST-20038</t>
  </si>
  <si>
    <t>Lakeview Enterprises</t>
  </si>
  <si>
    <t>CUST-20039</t>
  </si>
  <si>
    <t>Redwood Group</t>
  </si>
  <si>
    <t>CUST-20040</t>
  </si>
  <si>
    <t>Northstar Services</t>
  </si>
  <si>
    <t>CUST-20041</t>
  </si>
  <si>
    <t>Lakeview Systems</t>
  </si>
  <si>
    <t>CUST-20042</t>
  </si>
  <si>
    <t>Summit Industries</t>
  </si>
  <si>
    <t>CUST-20043</t>
  </si>
  <si>
    <t>Redwood Systems</t>
  </si>
  <si>
    <t>CUST-20044</t>
  </si>
  <si>
    <t>CUST-20045</t>
  </si>
  <si>
    <t>Stonebridge Group</t>
  </si>
  <si>
    <t>CUST-20046</t>
  </si>
  <si>
    <t>Evergreen Logistics</t>
  </si>
  <si>
    <t>CUST-20047</t>
  </si>
  <si>
    <t>Metro Systems</t>
  </si>
  <si>
    <t>CUST-20048</t>
  </si>
  <si>
    <t>Silverline Enterprises</t>
  </si>
  <si>
    <t>CUST-20049</t>
  </si>
  <si>
    <t>Redwood Services</t>
  </si>
  <si>
    <t>CUST-20050</t>
  </si>
  <si>
    <t>CUST-20051</t>
  </si>
  <si>
    <t>CUST-20052</t>
  </si>
  <si>
    <t>Summit Solutions</t>
  </si>
  <si>
    <t>midwest</t>
  </si>
  <si>
    <t>CUST-20053</t>
  </si>
  <si>
    <t>Parkway Technologies</t>
  </si>
  <si>
    <t>CUST-20054</t>
  </si>
  <si>
    <t>Evergreen Systems</t>
  </si>
  <si>
    <t>CUST-20055</t>
  </si>
  <si>
    <t>Granite Enterprises</t>
  </si>
  <si>
    <t>CUST-20056</t>
  </si>
  <si>
    <t>Highland Technologies</t>
  </si>
  <si>
    <t>CUST-20057</t>
  </si>
  <si>
    <t>Stonebridge Partners</t>
  </si>
  <si>
    <t>CUST-20058</t>
  </si>
  <si>
    <t>CUST-20059</t>
  </si>
  <si>
    <t>Oakridge Systems</t>
  </si>
  <si>
    <t>CUST-20060</t>
  </si>
  <si>
    <t>Silverline Manufacturing</t>
  </si>
  <si>
    <t>CUST-20061</t>
  </si>
  <si>
    <t>Evergreen Technologies</t>
  </si>
  <si>
    <t>CUST-20062</t>
  </si>
  <si>
    <t>CUST-20063</t>
  </si>
  <si>
    <t>Metro Logistics</t>
  </si>
  <si>
    <t>CUST-20064</t>
  </si>
  <si>
    <t>Horizon Manufacturing</t>
  </si>
  <si>
    <t>CUST-20065</t>
  </si>
  <si>
    <t>CUST-20066</t>
  </si>
  <si>
    <t>CUST-20067</t>
  </si>
  <si>
    <t>Stonebridge Systems</t>
  </si>
  <si>
    <t>CUST-20068</t>
  </si>
  <si>
    <t>CUST-20069</t>
  </si>
  <si>
    <t>BlueRiver Partners</t>
  </si>
  <si>
    <t>CUST-20070</t>
  </si>
  <si>
    <t>Prairie Solutions</t>
  </si>
  <si>
    <t>CUST-20071</t>
  </si>
  <si>
    <t>CUST-20072</t>
  </si>
  <si>
    <t>Lakeview Technologies</t>
  </si>
  <si>
    <t>CUST-20073</t>
  </si>
  <si>
    <t>CUST-20074</t>
  </si>
  <si>
    <t>Prairie Industries</t>
  </si>
  <si>
    <t>CUST-20075</t>
  </si>
  <si>
    <t>Pioneer Enterprises</t>
  </si>
  <si>
    <t>CUST-20076</t>
  </si>
  <si>
    <t>Cedar Systems</t>
  </si>
  <si>
    <t>CUST-20077</t>
  </si>
  <si>
    <t>CUST-20078</t>
  </si>
  <si>
    <t>Granite Solutions</t>
  </si>
  <si>
    <t>CUST-20079</t>
  </si>
  <si>
    <t>Granite Group</t>
  </si>
  <si>
    <t>CUST-20080</t>
  </si>
  <si>
    <t>CUST-20081</t>
  </si>
  <si>
    <t>Silverline Systems</t>
  </si>
  <si>
    <t>CUST-20082</t>
  </si>
  <si>
    <t>Redwood Enterprises</t>
  </si>
  <si>
    <t>CUST-20083</t>
  </si>
  <si>
    <t>Redwood Solutions</t>
  </si>
  <si>
    <t>CUST-20084</t>
  </si>
  <si>
    <t>Summit Partners</t>
  </si>
  <si>
    <t>CUST-20085</t>
  </si>
  <si>
    <t>CUST-20086</t>
  </si>
  <si>
    <t>Evergreen Solutions</t>
  </si>
  <si>
    <t>CUST-20087</t>
  </si>
  <si>
    <t>Pioneer Partners</t>
  </si>
  <si>
    <t>CUST-20088</t>
  </si>
  <si>
    <t>CUST-20089</t>
  </si>
  <si>
    <t>CUST-20090</t>
  </si>
  <si>
    <t>Highland Manufacturing</t>
  </si>
  <si>
    <t>CUST-20091</t>
  </si>
  <si>
    <t>Highland Systems</t>
  </si>
  <si>
    <t>CUST-20092</t>
  </si>
  <si>
    <t>CUST-20093</t>
  </si>
  <si>
    <t>CUST-20094</t>
  </si>
  <si>
    <t>Stonebridge Manufacturing</t>
  </si>
  <si>
    <t>CUST-20095</t>
  </si>
  <si>
    <t>Horizon Technologies</t>
  </si>
  <si>
    <t>CUST-20096</t>
  </si>
  <si>
    <t>Metro Group</t>
  </si>
  <si>
    <t>CUST-20097</t>
  </si>
  <si>
    <t>Cedar Solutions</t>
  </si>
  <si>
    <t>CUST-20098</t>
  </si>
  <si>
    <t>Riverside Partners</t>
  </si>
  <si>
    <t>CUST-20099</t>
  </si>
  <si>
    <t>CUST-20100</t>
  </si>
  <si>
    <t>CUST-20101</t>
  </si>
  <si>
    <t>Riverside Enterprises</t>
  </si>
  <si>
    <t>CUST-20102</t>
  </si>
  <si>
    <t>CUST-20103</t>
  </si>
  <si>
    <t>Highland Industries</t>
  </si>
  <si>
    <t>PAID</t>
  </si>
  <si>
    <t>CUST-20104</t>
  </si>
  <si>
    <t>CUST-20105</t>
  </si>
  <si>
    <t>Clearwater Enterprises</t>
  </si>
  <si>
    <t>CUST-20106</t>
  </si>
  <si>
    <t>CUST-20107</t>
  </si>
  <si>
    <t>Horizon Logistics</t>
  </si>
  <si>
    <t>CUST-20108</t>
  </si>
  <si>
    <t>CUST-20109</t>
  </si>
  <si>
    <t>Brighton Enterprises</t>
  </si>
  <si>
    <t>CUST-20110</t>
  </si>
  <si>
    <t>CUST-20111</t>
  </si>
  <si>
    <t>Stonebridge Solutions</t>
  </si>
  <si>
    <t>CUST-20112</t>
  </si>
  <si>
    <t>Highland Partners</t>
  </si>
  <si>
    <t>CUST-20113</t>
  </si>
  <si>
    <t>Riverside Group</t>
  </si>
  <si>
    <t>CUST-20114</t>
  </si>
  <si>
    <t>CUST-20115</t>
  </si>
  <si>
    <t>CUST-20116</t>
  </si>
  <si>
    <t>CUST-20117</t>
  </si>
  <si>
    <t>Granite Logistics</t>
  </si>
  <si>
    <t>CUST-20118</t>
  </si>
  <si>
    <t>CUST-20119</t>
  </si>
  <si>
    <t>Brighton Services</t>
  </si>
  <si>
    <t>CUST-20120</t>
  </si>
  <si>
    <t>CUST-20121</t>
  </si>
  <si>
    <t>CUST-20122</t>
  </si>
  <si>
    <t>Pioneer Logistics</t>
  </si>
  <si>
    <t>CUST-20123</t>
  </si>
  <si>
    <t>CUST-20124</t>
  </si>
  <si>
    <t>CUST-20125</t>
  </si>
  <si>
    <t>CUST-20126</t>
  </si>
  <si>
    <t>Parkway Services</t>
  </si>
  <si>
    <t>CUST-20127</t>
  </si>
  <si>
    <t>CUST-20128</t>
  </si>
  <si>
    <t>Redwood Logistics</t>
  </si>
  <si>
    <t>CUST-20129</t>
  </si>
  <si>
    <t>Cedar Manufacturing</t>
  </si>
  <si>
    <t>CUST-20130</t>
  </si>
  <si>
    <t>CUST-20131</t>
  </si>
  <si>
    <t>CUST-20132</t>
  </si>
  <si>
    <t>Horizon Enterprises</t>
  </si>
  <si>
    <t>CUST-20133</t>
  </si>
  <si>
    <t>BlueRiver Manufacturing</t>
  </si>
  <si>
    <t>CUST-20134</t>
  </si>
  <si>
    <t>CUST-20135</t>
  </si>
  <si>
    <t>CUST-20136</t>
  </si>
  <si>
    <t>CUST-20137</t>
  </si>
  <si>
    <t>CUST-20138</t>
  </si>
  <si>
    <t>Parkway Industries</t>
  </si>
  <si>
    <t>CUST-20139</t>
  </si>
  <si>
    <t>CUST-20140</t>
  </si>
  <si>
    <t>Northstar Enterprises</t>
  </si>
  <si>
    <t>CUST-20141</t>
  </si>
  <si>
    <t>CUST-20142</t>
  </si>
  <si>
    <t>CUST-20143</t>
  </si>
  <si>
    <t>Horizon Group</t>
  </si>
  <si>
    <t>CUST-20144</t>
  </si>
  <si>
    <t>Highland Enterprises</t>
  </si>
  <si>
    <t>CUST-20145</t>
  </si>
  <si>
    <t>CUST-20146</t>
  </si>
  <si>
    <t>Granite Systems</t>
  </si>
  <si>
    <t>CUST-20147</t>
  </si>
  <si>
    <t>CUST-20148</t>
  </si>
  <si>
    <t>BlueRiver Services</t>
  </si>
  <si>
    <t>CUST-20149</t>
  </si>
  <si>
    <t>Lakeview Industries</t>
  </si>
  <si>
    <t>CUST-20150</t>
  </si>
  <si>
    <t>CUST-20151</t>
  </si>
  <si>
    <t>CUST-20152</t>
  </si>
  <si>
    <t>Northstar Logistics</t>
  </si>
  <si>
    <t>CUST-20153</t>
  </si>
  <si>
    <t>Riverside Manufacturing</t>
  </si>
  <si>
    <t>CUST-20154</t>
  </si>
  <si>
    <t>CUST-20155</t>
  </si>
  <si>
    <t>Cedar Group</t>
  </si>
  <si>
    <t>CUST-20156</t>
  </si>
  <si>
    <t>CUST-20157</t>
  </si>
  <si>
    <t>CUST-20158</t>
  </si>
  <si>
    <t>Silverline Services</t>
  </si>
  <si>
    <t>CUST-20159</t>
  </si>
  <si>
    <t>Cedar Partners</t>
  </si>
  <si>
    <t>CUST-20160</t>
  </si>
  <si>
    <t>Lakeview Group</t>
  </si>
  <si>
    <t>CUST-20161</t>
  </si>
  <si>
    <t>Parkway Enterprises</t>
  </si>
  <si>
    <t>CUST-20162</t>
  </si>
  <si>
    <t>BlueRiver Solutions</t>
  </si>
  <si>
    <t>CUST-20163</t>
  </si>
  <si>
    <t>CUST-20164</t>
  </si>
  <si>
    <t>CUST-20165</t>
  </si>
  <si>
    <t>CUST-20166</t>
  </si>
  <si>
    <t>CUST-20167</t>
  </si>
  <si>
    <t>CUST-20168</t>
  </si>
  <si>
    <t>CUST-20169</t>
  </si>
  <si>
    <t>CUST-20170</t>
  </si>
  <si>
    <t>CUST-20171</t>
  </si>
  <si>
    <t>CUST-20172</t>
  </si>
  <si>
    <t>CUST-20173</t>
  </si>
  <si>
    <t>Stonebridge Enterprises</t>
  </si>
  <si>
    <t>CUST-20174</t>
  </si>
  <si>
    <t>CUST-20175</t>
  </si>
  <si>
    <t>CUST-20176</t>
  </si>
  <si>
    <t>CUST-20177</t>
  </si>
  <si>
    <t>Lakeview Services</t>
  </si>
  <si>
    <t>CUST-20178</t>
  </si>
  <si>
    <t>CUST-20179</t>
  </si>
  <si>
    <t>CUST-20180</t>
  </si>
  <si>
    <t>Oakridge Enterprises</t>
  </si>
  <si>
    <t>CUST-20181</t>
  </si>
  <si>
    <t>Prairie Manufacturing</t>
  </si>
  <si>
    <t>CUST-20182</t>
  </si>
  <si>
    <t>CUST-20183</t>
  </si>
  <si>
    <t>CUST-20184</t>
  </si>
  <si>
    <t>CUST-20185</t>
  </si>
  <si>
    <t>Prairie Technologies</t>
  </si>
  <si>
    <t>CUST-20186</t>
  </si>
  <si>
    <t>Stonebridge Logistics</t>
  </si>
  <si>
    <t>CUST-20187</t>
  </si>
  <si>
    <t>CUST-20188</t>
  </si>
  <si>
    <t>Clearwater Manufacturing</t>
  </si>
  <si>
    <t>CUST-20189</t>
  </si>
  <si>
    <t>CUST-20190</t>
  </si>
  <si>
    <t>CUST-20191</t>
  </si>
  <si>
    <t>Metro Solutions</t>
  </si>
  <si>
    <t>CUST-20192</t>
  </si>
  <si>
    <t>Evergreen Partners</t>
  </si>
  <si>
    <t>CUST-20193</t>
  </si>
  <si>
    <t>Clearwater Systems</t>
  </si>
  <si>
    <t>CUST-20194</t>
  </si>
  <si>
    <t>Parkway Group</t>
  </si>
  <si>
    <t>CUST-20195</t>
  </si>
  <si>
    <t>CUST-20196</t>
  </si>
  <si>
    <t>Summit Systems</t>
  </si>
  <si>
    <t>CUST-20197</t>
  </si>
  <si>
    <t>CUST-20198</t>
  </si>
  <si>
    <t>Horizon Partners</t>
  </si>
  <si>
    <t>CUST-20199</t>
  </si>
  <si>
    <t>CUST-20200</t>
  </si>
  <si>
    <t>CUST-20201</t>
  </si>
  <si>
    <t>CUST-20202</t>
  </si>
  <si>
    <t>Silverline Industries</t>
  </si>
  <si>
    <t>CUST-20203</t>
  </si>
  <si>
    <t>Riverside Technologies</t>
  </si>
  <si>
    <t>CUST-20204</t>
  </si>
  <si>
    <t>Granite Technologies</t>
  </si>
  <si>
    <t>CUST-20205</t>
  </si>
  <si>
    <t>CUST-20206</t>
  </si>
  <si>
    <t>CUST-20207</t>
  </si>
  <si>
    <t>Riverside Services</t>
  </si>
  <si>
    <t>CUST-20208</t>
  </si>
  <si>
    <t>Granite Partners</t>
  </si>
  <si>
    <t>CUST-20209</t>
  </si>
  <si>
    <t>CUST-20210</t>
  </si>
  <si>
    <t>Brighton Partners</t>
  </si>
  <si>
    <t>CUST-20211</t>
  </si>
  <si>
    <t>Clearwater Group</t>
  </si>
  <si>
    <t>CUST-20212</t>
  </si>
  <si>
    <t>Cedar Logistics</t>
  </si>
  <si>
    <t>CUST-20213</t>
  </si>
  <si>
    <t>CUST-20214</t>
  </si>
  <si>
    <t>CUST-20215</t>
  </si>
  <si>
    <t>CUST-20216</t>
  </si>
  <si>
    <t>CUST-20217</t>
  </si>
  <si>
    <t>CUST-20218</t>
  </si>
  <si>
    <t>Northstar Technologies</t>
  </si>
  <si>
    <t>CUST-20219</t>
  </si>
  <si>
    <t>Redwood Industries</t>
  </si>
  <si>
    <t>CUST-20220</t>
  </si>
  <si>
    <t>CUST-20221</t>
  </si>
  <si>
    <t>Brighton Systems</t>
  </si>
  <si>
    <t>CUST-20222</t>
  </si>
  <si>
    <t>CUST-20223</t>
  </si>
  <si>
    <t>Horizon Services</t>
  </si>
  <si>
    <t>CUST-20224</t>
  </si>
  <si>
    <t>CUST-20225</t>
  </si>
  <si>
    <t>Oakridge Partners</t>
  </si>
  <si>
    <t>CUST-20226</t>
  </si>
  <si>
    <t>CUST-20227</t>
  </si>
  <si>
    <t>CUST-20228</t>
  </si>
  <si>
    <t>Stonebridge Services</t>
  </si>
  <si>
    <t>CUST-20229</t>
  </si>
  <si>
    <t>CUST-20230</t>
  </si>
  <si>
    <t>CUST-20231</t>
  </si>
  <si>
    <t>Parkway Systems</t>
  </si>
  <si>
    <t>CUST-20232</t>
  </si>
  <si>
    <t>CUST-20233</t>
  </si>
  <si>
    <t>CUST-20234</t>
  </si>
  <si>
    <t>CUST-20235</t>
  </si>
  <si>
    <t>CUST-20236</t>
  </si>
  <si>
    <t>CUST-20237</t>
  </si>
  <si>
    <t>CUST-20238</t>
  </si>
  <si>
    <t>CUST-20239</t>
  </si>
  <si>
    <t>CUST-20240</t>
  </si>
  <si>
    <t>CUST-20241</t>
  </si>
  <si>
    <t>CUST-20242</t>
  </si>
  <si>
    <t>CUST-20243</t>
  </si>
  <si>
    <t>CUST-20244</t>
  </si>
  <si>
    <t>Stonebridge Industries</t>
  </si>
  <si>
    <t>CUST-20245</t>
  </si>
  <si>
    <t>CUST-20246</t>
  </si>
  <si>
    <t>CUST-20247</t>
  </si>
  <si>
    <t>CUST-20248</t>
  </si>
  <si>
    <t>CUST-20249</t>
  </si>
  <si>
    <t>CUST-20250</t>
  </si>
  <si>
    <t>CUST-20251</t>
  </si>
  <si>
    <t>CUST-20252</t>
  </si>
  <si>
    <t>CUST-20253</t>
  </si>
  <si>
    <t>CUST-20254</t>
  </si>
  <si>
    <t>Evergreen Group</t>
  </si>
  <si>
    <t>CUST-20255</t>
  </si>
  <si>
    <t>Northstar Partners</t>
  </si>
  <si>
    <t>CUST-20256</t>
  </si>
  <si>
    <t>CUST-20257</t>
  </si>
  <si>
    <t>CUST-20258</t>
  </si>
  <si>
    <t>CUST-20259</t>
  </si>
  <si>
    <t>CUST-20260</t>
  </si>
  <si>
    <t>CUST-20261</t>
  </si>
  <si>
    <t>CUST-20262</t>
  </si>
  <si>
    <t>CUST-20263</t>
  </si>
  <si>
    <t>Brighton Solutions</t>
  </si>
  <si>
    <t>CUST-20264</t>
  </si>
  <si>
    <t>CUST-20265</t>
  </si>
  <si>
    <t>CUST-20266</t>
  </si>
  <si>
    <t>CUST-20267</t>
  </si>
  <si>
    <t>Lakeview Partners</t>
  </si>
  <si>
    <t>CUST-20268</t>
  </si>
  <si>
    <t>CUST-20269</t>
  </si>
  <si>
    <t>CUST-20270</t>
  </si>
  <si>
    <t>CUST-20271</t>
  </si>
  <si>
    <t>Pioneer Group</t>
  </si>
  <si>
    <t>CUST-20272</t>
  </si>
  <si>
    <t>Summit Manufacturing</t>
  </si>
  <si>
    <t>CUST-20273</t>
  </si>
  <si>
    <t>CUST-20274</t>
  </si>
  <si>
    <t>CUST-20275</t>
  </si>
  <si>
    <t>CUST-20276</t>
  </si>
  <si>
    <t>CUST-20277</t>
  </si>
  <si>
    <t>CUST-20278</t>
  </si>
  <si>
    <t>CUST-20279</t>
  </si>
  <si>
    <t>Metro Manufacturing</t>
  </si>
  <si>
    <t>CUST-20280</t>
  </si>
  <si>
    <t>Silverline Technologies</t>
  </si>
  <si>
    <t>CUST-20281</t>
  </si>
  <si>
    <t>CUST-20282</t>
  </si>
  <si>
    <t>CUST-20283</t>
  </si>
  <si>
    <t>CUST-20284</t>
  </si>
  <si>
    <t>CUST-20285</t>
  </si>
  <si>
    <t>CUST-20286</t>
  </si>
  <si>
    <t>Lakeview Logistics</t>
  </si>
  <si>
    <t>CUST-20287</t>
  </si>
  <si>
    <t>CUST-20288</t>
  </si>
  <si>
    <t>CUST-20289</t>
  </si>
  <si>
    <t>CUST-20290</t>
  </si>
  <si>
    <t>CUST-20291</t>
  </si>
  <si>
    <t>CUST-20292</t>
  </si>
  <si>
    <t>CUST-20293</t>
  </si>
  <si>
    <t>Clearwater Partners</t>
  </si>
  <si>
    <t>CUST-20294</t>
  </si>
  <si>
    <t>CUST-20295</t>
  </si>
  <si>
    <t>CUST-20296</t>
  </si>
  <si>
    <t>CUST-20297</t>
  </si>
  <si>
    <t>CUST-20298</t>
  </si>
  <si>
    <t>CUST-20299</t>
  </si>
  <si>
    <t>CUST-20300</t>
  </si>
  <si>
    <t>CUST-20302</t>
  </si>
  <si>
    <t>CUST-20303</t>
  </si>
  <si>
    <t>CUST-20304</t>
  </si>
  <si>
    <t>CUST-20305</t>
  </si>
  <si>
    <t>CUST-20306</t>
  </si>
  <si>
    <t>CUST-20307</t>
  </si>
  <si>
    <t>CUST-20308</t>
  </si>
  <si>
    <t>Prairie Partners</t>
  </si>
  <si>
    <t>CUST-20309</t>
  </si>
  <si>
    <t>CUST-20310</t>
  </si>
  <si>
    <t>CUST-20311</t>
  </si>
  <si>
    <t>CUST-20312</t>
  </si>
  <si>
    <t>CUST-20313</t>
  </si>
  <si>
    <t>CUST-20314</t>
  </si>
  <si>
    <t>CUST-20315</t>
  </si>
  <si>
    <t>Oakridge Logistics</t>
  </si>
  <si>
    <t>CUST-20316</t>
  </si>
  <si>
    <t>CUST-20317</t>
  </si>
  <si>
    <t>CUST-20318</t>
  </si>
  <si>
    <t>Evergreen Manufacturing</t>
  </si>
  <si>
    <t>CUST-20319</t>
  </si>
  <si>
    <t>CUST-20320</t>
  </si>
  <si>
    <t>CUST-20321</t>
  </si>
  <si>
    <t>Redwood Partners</t>
  </si>
  <si>
    <t>CUST-20322</t>
  </si>
  <si>
    <t>CUST-20323</t>
  </si>
  <si>
    <t>Silverline Logistics</t>
  </si>
  <si>
    <t>CUST-20324</t>
  </si>
  <si>
    <t>Brighton Manufacturing</t>
  </si>
  <si>
    <t>CUST-20325</t>
  </si>
  <si>
    <t>Pioneer Systems</t>
  </si>
  <si>
    <t>CUST-20326</t>
  </si>
  <si>
    <t>CUST-20327</t>
  </si>
  <si>
    <t>CUST-20328</t>
  </si>
  <si>
    <t>BlueRiver Industries</t>
  </si>
  <si>
    <t>CUST-20329</t>
  </si>
  <si>
    <t>CUST-20330</t>
  </si>
  <si>
    <t>CUST-20331</t>
  </si>
  <si>
    <t>CUST-20332</t>
  </si>
  <si>
    <t>CUST-20333</t>
  </si>
  <si>
    <t>CUST-20334</t>
  </si>
  <si>
    <t>CUST-20335</t>
  </si>
  <si>
    <t>CUST-20336</t>
  </si>
  <si>
    <t>CUST-20337</t>
  </si>
  <si>
    <t>Summit Group</t>
  </si>
  <si>
    <t>CUST-20338</t>
  </si>
  <si>
    <t>Cedar Enterprises</t>
  </si>
  <si>
    <t>CUST-20339</t>
  </si>
  <si>
    <t>CUST-20340</t>
  </si>
  <si>
    <t>CUST-20341</t>
  </si>
  <si>
    <t>CUST-20342</t>
  </si>
  <si>
    <t>CUST-20343</t>
  </si>
  <si>
    <t>CUST-20344</t>
  </si>
  <si>
    <t>CUST-20345</t>
  </si>
  <si>
    <t>CUST-20346</t>
  </si>
  <si>
    <t>Cedar Industries</t>
  </si>
  <si>
    <t>CUST-20347</t>
  </si>
  <si>
    <t>CUST-20348</t>
  </si>
  <si>
    <t>Silverline Group</t>
  </si>
  <si>
    <t>CUST-20349</t>
  </si>
  <si>
    <t>CUST-20350</t>
  </si>
  <si>
    <t>Unknown</t>
  </si>
  <si>
    <t>Unassigned</t>
  </si>
  <si>
    <t>CUST-20301</t>
  </si>
  <si>
    <t>B2B Telecommunications Customer Performance Analysis — Project 1</t>
  </si>
  <si>
    <t>Scenario: a fictional telecommunications provider serves business customers with mobile, internet, IoT and voice services. Your goal is to clean the data, analyze customer and revenue performance, and eventually build an Excel dashboard.</t>
  </si>
  <si>
    <t>Stage</t>
  </si>
  <si>
    <t>What you will do</t>
  </si>
  <si>
    <t>Why it matters</t>
  </si>
  <si>
    <t>Suggested Excel skills</t>
  </si>
  <si>
    <t>When</t>
  </si>
  <si>
    <t>Notes</t>
  </si>
  <si>
    <t>1. Understand</t>
  </si>
  <si>
    <t>Review the columns and define useful business questions.</t>
  </si>
  <si>
    <t>Understand the business before making charts.</t>
  </si>
  <si>
    <t>Filters, sorting, inspection</t>
  </si>
  <si>
    <t>NOW</t>
  </si>
  <si>
    <t>Start here.</t>
  </si>
  <si>
    <t>2. Clean</t>
  </si>
  <si>
    <t>Create a cleaned-data sheet and identify data-quality problems.</t>
  </si>
  <si>
    <t>Shows accuracy and attention to detail.</t>
  </si>
  <si>
    <t>Duplicates, Find/Replace, validation, formulas</t>
  </si>
  <si>
    <t>NEXT</t>
  </si>
  <si>
    <t>Raw data contains intentional issues.</t>
  </si>
  <si>
    <t>3. Analyze</t>
  </si>
  <si>
    <t>Study customers, monthly revenue, plans, payment behavior, satisfaction and regional trends.</t>
  </si>
  <si>
    <t>Turns records into useful information.</t>
  </si>
  <si>
    <t>PivotTables, SUMIFS/COUNTIFS, date analysis</t>
  </si>
  <si>
    <t>LATER</t>
  </si>
  <si>
    <t>We will choose KPIs together.</t>
  </si>
  <si>
    <t>4. Dashboard</t>
  </si>
  <si>
    <t>Create a polished interactive management view.</t>
  </si>
  <si>
    <t>Shows reporting and communication skills.</t>
  </si>
  <si>
    <t>PivotCharts, slicers, KPI cards</t>
  </si>
  <si>
    <t>Do not build this yet.</t>
  </si>
  <si>
    <t>5. Insights</t>
  </si>
  <si>
    <t>Write 3–5 supported findings and recommendations.</t>
  </si>
  <si>
    <t>Shows business thinking, not just Excel.</t>
  </si>
  <si>
    <t>Interpretation</t>
  </si>
  <si>
    <t>Use only what the analysis supports.</t>
  </si>
  <si>
    <t>6. GitHub</t>
  </si>
  <si>
    <t>Package the workbook, dashboard screenshot and explanation.</t>
  </si>
  <si>
    <t>Makes the project easy for recruiters to review.</t>
  </si>
  <si>
    <t>README and file upload</t>
  </si>
  <si>
    <t>LAST</t>
  </si>
  <si>
    <t>We will learn this from zero.</t>
  </si>
  <si>
    <t>First assignment — before cleaning anything</t>
  </si>
  <si>
    <t>1</t>
  </si>
  <si>
    <t>Open 01_Raw_Telecom_Data and look through the columns and several rows.</t>
  </si>
  <si>
    <t>2</t>
  </si>
  <si>
    <t>Write down what you think one row represents.</t>
  </si>
  <si>
    <t>3</t>
  </si>
  <si>
    <t>Identify 3 business questions management could answer with this dataset.</t>
  </si>
  <si>
    <t>4</t>
  </si>
  <si>
    <t>Look for anything wrong, inconsistent, missing, or suspicious — but DO NOT fix it yet.</t>
  </si>
  <si>
    <t>5</t>
  </si>
  <si>
    <t>Come back and tell me what you found. Then we will start the cleaning stage together.</t>
  </si>
  <si>
    <t>Grand Total</t>
  </si>
  <si>
    <t>Number of Customers</t>
  </si>
  <si>
    <t>Monthly Revenue</t>
  </si>
  <si>
    <t>% of customers</t>
  </si>
  <si>
    <t>Average Satisfaction Score</t>
  </si>
  <si>
    <t>Customer status</t>
  </si>
  <si>
    <t>Monthly revenue</t>
  </si>
  <si>
    <t>% of Customers</t>
  </si>
  <si>
    <r>
      <rPr>
        <b/>
        <sz val="22"/>
        <rFont val="Carlito"/>
      </rPr>
      <t>B2B</t>
    </r>
    <r>
      <rPr>
        <b/>
        <sz val="18"/>
        <rFont val="Carlito"/>
      </rPr>
      <t xml:space="preserve"> Telecom Customer Performance Dashboard</t>
    </r>
  </si>
  <si>
    <t>Customer, Revenue, Payment &amp; Service performance Overview</t>
  </si>
  <si>
    <t>TOTAL CUSTOMERS</t>
  </si>
  <si>
    <t>MONTHLY REVENUE</t>
  </si>
  <si>
    <t>ACTIVE CUSTOMERS</t>
  </si>
  <si>
    <t>OVERDUE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</si>
</sst>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0"/>
    <numFmt numFmtId="166" formatCode="&quot;$&quot;#,##0"/>
  </numFmts>
  <fonts count="7">
    <font>
      <sz val="11"/>
      <name val="Carlito"/>
    </font>
    <font>
      <b/>
      <sz val="11"/>
      <color rgb="FFFFFFFF"/>
      <name val="Carlito"/>
    </font>
    <font>
      <b/>
      <sz val="16"/>
      <color rgb="FFFFFFFF"/>
      <name val="Carlito"/>
    </font>
    <font>
      <b/>
      <sz val="11"/>
      <name val="Carlito"/>
    </font>
    <font>
      <b/>
      <sz val="22"/>
      <name val="Carlito"/>
    </font>
    <font>
      <b/>
      <sz val="18"/>
      <name val="Carlito"/>
    </font>
    <font>
      <b/>
      <sz val="24"/>
      <name val="Carlito"/>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theme="3" tint="0.89999084444715716"/>
        <bgColor indexed="64"/>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xf>
    <xf numFmtId="164" fontId="0" fillId="0" borderId="0" xfId="0" applyNumberFormat="1"/>
    <xf numFmtId="165" fontId="0" fillId="0" borderId="0" xfId="0" applyNumberFormat="1"/>
    <xf numFmtId="0" fontId="0" fillId="0" borderId="0" xfId="0" applyAlignment="1">
      <alignment wrapText="1"/>
    </xf>
    <xf numFmtId="0" fontId="3" fillId="3" borderId="0" xfId="0" applyFont="1" applyFill="1" applyAlignment="1">
      <alignment horizontal="center" wrapText="1"/>
    </xf>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3" fillId="0" borderId="0" xfId="0" applyFont="1"/>
    <xf numFmtId="0" fontId="0" fillId="4" borderId="0" xfId="0" applyFill="1"/>
    <xf numFmtId="0" fontId="6" fillId="4" borderId="0" xfId="0" applyFont="1" applyFill="1"/>
    <xf numFmtId="166" fontId="6" fillId="4" borderId="0" xfId="0" applyNumberFormat="1" applyFont="1" applyFill="1"/>
    <xf numFmtId="0" fontId="2" fillId="2" borderId="0" xfId="0" applyFont="1" applyFill="1"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[B2B_Telecom_Customer_Analysis.xlsx]03_EDA_Analysis!PivotTable2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Revenue by Service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'03_EDA_Analysis'!$E$1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'03_EDA_Analysis'!$D$2:$D$7</c:f>
              <c:strCache>
                <c:ptCount val="5"/>
                <c:pt idx="0">
                  <c:v>IoT Connectivity</c:v>
                </c:pt>
                <c:pt idx="1">
                  <c:v>Cloud Voice</c:v>
                </c:pt>
                <c:pt idx="2">
                  <c:v>Business Internet</c:v>
                </c:pt>
                <c:pt idx="3">
                  <c:v>Business Mobile</c:v>
                </c:pt>
                <c:pt idx="4">
                  <c:v>Mobile + Internet</c:v>
                </c:pt>
              </c:strCache>
            </c:strRef>
          </c:cat>
          <c:val>
            <c:numRef>
              <c:f>'03_EDA_Analysis'!$E$2:$E$7</c:f>
              <c:numCache>
                <c:formatCode>\$#,##0</c:formatCode>
                <c:ptCount val="5"/>
                <c:pt idx="0">
                  <c:v>18195</c:v>
                </c:pt>
                <c:pt idx="1">
                  <c:v>24170</c:v>
                </c:pt>
                <c:pt idx="2">
                  <c:v>24345</c:v>
                </c:pt>
                <c:pt idx="3">
                  <c:v>43430</c:v>
                </c:pt>
                <c:pt idx="4">
                  <c:v>44460</c:v>
                </c:pt>
              </c:numCache>
            </c:numRef>
          </c:val>
          <c:extLst>
            <c:ext xmlns:c16="http://schemas.microsoft.com/office/drawing/2014/chart" uri="{C3380CC4-5D6E-409C-BE32-E72D297353CC}">
              <c16:uniqueId val="{00000000-27A0-4EC5-A537-88647F009A90}"/>
            </c:ext>
          </c:extLst>
        </c:ser>
        <c:dLbls>
          <c:showLegendKey val="0"/>
          <c:showVal val="0"/>
          <c:showCatName val="0"/>
          <c:showSerName val="0"/>
          <c:showPercent val="0"/>
          <c:showBubbleSize val="0"/>
        </c:dLbls>
        <c:gapWidth val="182"/>
        <c:axId val="1554110128"/>
        <c:axId val="1117834080"/>
      </c:barChart>
      <c:catAx>
        <c:axId val="1554110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834080"/>
        <c:crosses val="autoZero"/>
        <c:auto val="1"/>
        <c:lblAlgn val="ctr"/>
        <c:lblOffset val="100"/>
        <c:noMultiLvlLbl val="0"/>
      </c:catAx>
      <c:valAx>
        <c:axId val="11178340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11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[B2B_Telecom_Customer_Analysis.xlsx]03_EDA_Analysis!PivotTable11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Revenue by Region</a:t>
            </a:r>
            <a:endParaRPr lang="en-US"/>
          </a:p>
        </c:rich>
      </c:tx>
      <c:layout>
        <c:manualLayout>
          <c:xMode val="edge"/>
          <c:yMode val="edge"/>
          <c:x val="0.25480437322957011"/>
          <c:y val="8.79629629629629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67374506724725"/>
          <c:y val="0.19486111111111112"/>
          <c:w val="0.82732625493275269"/>
          <c:h val="0.72088764946048411"/>
        </c:manualLayout>
      </c:layout>
      <c:barChart>
        <c:barDir val="col"/>
        <c:grouping val="clustered"/>
        <c:varyColors val="0"/>
        <c:ser>
          <c:idx val="0"/>
          <c:order val="0"/>
          <c:tx>
            <c:strRef>
              <c:f>'03_EDA_Analysis'!$J$10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'03_EDA_Analysis'!$I$11:$I$15</c:f>
              <c:strCache>
                <c:ptCount val="4"/>
                <c:pt idx="0">
                  <c:v>Midwest</c:v>
                </c:pt>
                <c:pt idx="1">
                  <c:v>Northeast</c:v>
                </c:pt>
                <c:pt idx="2">
                  <c:v>South</c:v>
                </c:pt>
                <c:pt idx="3">
                  <c:v>West</c:v>
                </c:pt>
              </c:strCache>
            </c:strRef>
          </c:cat>
          <c:val>
            <c:numRef>
              <c:f>'03_EDA_Analysis'!$J$11:$J$15</c:f>
              <c:numCache>
                <c:formatCode>\$#,##0</c:formatCode>
                <c:ptCount val="4"/>
                <c:pt idx="0">
                  <c:v>42240</c:v>
                </c:pt>
                <c:pt idx="1">
                  <c:v>36300</c:v>
                </c:pt>
                <c:pt idx="2">
                  <c:v>44425</c:v>
                </c:pt>
                <c:pt idx="3">
                  <c:v>31635</c:v>
                </c:pt>
              </c:numCache>
            </c:numRef>
          </c:val>
          <c:extLst>
            <c:ext xmlns:c16="http://schemas.microsoft.com/office/drawing/2014/chart" uri="{C3380CC4-5D6E-409C-BE32-E72D297353CC}">
              <c16:uniqueId val="{00000000-F715-42C3-A992-A1C344D2C9B8}"/>
            </c:ext>
          </c:extLst>
        </c:ser>
        <c:dLbls>
          <c:showLegendKey val="0"/>
          <c:showVal val="0"/>
          <c:showCatName val="0"/>
          <c:showSerName val="0"/>
          <c:showPercent val="0"/>
          <c:showBubbleSize val="0"/>
        </c:dLbls>
        <c:gapWidth val="219"/>
        <c:overlap val="-27"/>
        <c:axId val="665241264"/>
        <c:axId val="1117851360"/>
      </c:barChart>
      <c:catAx>
        <c:axId val="66524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851360"/>
        <c:crosses val="autoZero"/>
        <c:auto val="1"/>
        <c:lblAlgn val="ctr"/>
        <c:lblOffset val="100"/>
        <c:noMultiLvlLbl val="0"/>
      </c:catAx>
      <c:valAx>
        <c:axId val="11178513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24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[B2B_Telecom_Customer_Analysis.xlsx]03_EDA_Analysis!PivotTable3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 Monthly Revenue by Plan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'03_EDA_Analysis'!$H$1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'03_EDA_Analysis'!$G$2:$G$5</c:f>
              <c:strCache>
                <c:ptCount val="3"/>
                <c:pt idx="0">
                  <c:v>Business Plus</c:v>
                </c:pt>
                <c:pt idx="1">
                  <c:v>Essential</c:v>
                </c:pt>
                <c:pt idx="2">
                  <c:v>Premium</c:v>
                </c:pt>
              </c:strCache>
            </c:strRef>
          </c:cat>
          <c:val>
            <c:numRef>
              <c:f>'03_EDA_Analysis'!$H$2:$H$5</c:f>
              <c:numCache>
                <c:formatCode>\$#,##0</c:formatCode>
                <c:ptCount val="3"/>
                <c:pt idx="0">
                  <c:v>48370</c:v>
                </c:pt>
                <c:pt idx="1">
                  <c:v>44445</c:v>
                </c:pt>
                <c:pt idx="2">
                  <c:v>61785</c:v>
                </c:pt>
              </c:numCache>
            </c:numRef>
          </c:val>
          <c:extLst>
            <c:ext xmlns:c16="http://schemas.microsoft.com/office/drawing/2014/chart" uri="{C3380CC4-5D6E-409C-BE32-E72D297353CC}">
              <c16:uniqueId val="{00000000-3305-4858-A53F-23FB95D9A390}"/>
            </c:ext>
          </c:extLst>
        </c:ser>
        <c:dLbls>
          <c:showLegendKey val="0"/>
          <c:showVal val="0"/>
          <c:showCatName val="0"/>
          <c:showSerName val="0"/>
          <c:showPercent val="0"/>
          <c:showBubbleSize val="0"/>
        </c:dLbls>
        <c:gapWidth val="219"/>
        <c:axId val="1522148976"/>
        <c:axId val="1548088032"/>
      </c:barChart>
      <c:catAx>
        <c:axId val="152214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088032"/>
        <c:crosses val="autoZero"/>
        <c:auto val="1"/>
        <c:lblAlgn val="ctr"/>
        <c:lblOffset val="100"/>
        <c:noMultiLvlLbl val="0"/>
      </c:catAx>
      <c:valAx>
        <c:axId val="15480880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1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[B2B_Telecom_Customer_Analysis.xlsx]03_EDA_Analysis!PivotTable9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Satisfaction by Service Type</a:t>
            </a:r>
            <a:endParaRPr lang="en-US"/>
          </a:p>
        </c:rich>
      </c:tx>
      <c:layout>
        <c:manualLayout>
          <c:xMode val="edge"/>
          <c:yMode val="edge"/>
          <c:x val="0.14816584775590003"/>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5402218115816"/>
          <c:y val="0.17171296296296298"/>
          <c:w val="0.72762426164007532"/>
          <c:h val="0.72088764946048411"/>
        </c:manualLayout>
      </c:layout>
      <c:barChart>
        <c:barDir val="bar"/>
        <c:grouping val="clustered"/>
        <c:varyColors val="0"/>
        <c:ser>
          <c:idx val="0"/>
          <c:order val="0"/>
          <c:tx>
            <c:strRef>
              <c:f>'03_EDA_Analysis'!$B$10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'03_EDA_Analysis'!$A$11:$A$16</c:f>
              <c:strCache>
                <c:ptCount val="5"/>
                <c:pt idx="0">
                  <c:v>Business Internet</c:v>
                </c:pt>
                <c:pt idx="1">
                  <c:v>Business Mobile</c:v>
                </c:pt>
                <c:pt idx="2">
                  <c:v>IoT Connectivity</c:v>
                </c:pt>
                <c:pt idx="3">
                  <c:v>Cloud Voice</c:v>
                </c:pt>
                <c:pt idx="4">
                  <c:v>Mobile + Internet</c:v>
                </c:pt>
              </c:strCache>
            </c:strRef>
          </c:cat>
          <c:val>
            <c:numRef>
              <c:f>'03_EDA_Analysis'!$B$11:$B$16</c:f>
              <c:numCache>
                <c:formatCode>0.00</c:formatCode>
                <c:ptCount val="5"/>
                <c:pt idx="0">
                  <c:v>3.6621621621621623</c:v>
                </c:pt>
                <c:pt idx="1">
                  <c:v>3.716417910447761</c:v>
                </c:pt>
                <c:pt idx="2">
                  <c:v>3.7285714285714286</c:v>
                </c:pt>
                <c:pt idx="3">
                  <c:v>3.810810810810811</c:v>
                </c:pt>
                <c:pt idx="4">
                  <c:v>3.8153846153846156</c:v>
                </c:pt>
              </c:numCache>
            </c:numRef>
          </c:val>
          <c:extLst>
            <c:ext xmlns:c16="http://schemas.microsoft.com/office/drawing/2014/chart" uri="{C3380CC4-5D6E-409C-BE32-E72D297353CC}">
              <c16:uniqueId val="{00000000-A159-4C37-A81C-C15DC88564DD}"/>
            </c:ext>
          </c:extLst>
        </c:ser>
        <c:dLbls>
          <c:showLegendKey val="0"/>
          <c:showVal val="0"/>
          <c:showCatName val="0"/>
          <c:showSerName val="0"/>
          <c:showPercent val="0"/>
          <c:showBubbleSize val="0"/>
        </c:dLbls>
        <c:gapWidth val="182"/>
        <c:axId val="664345088"/>
        <c:axId val="1117840320"/>
      </c:barChart>
      <c:catAx>
        <c:axId val="664345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840320"/>
        <c:crosses val="autoZero"/>
        <c:auto val="1"/>
        <c:lblAlgn val="ctr"/>
        <c:lblOffset val="100"/>
        <c:noMultiLvlLbl val="0"/>
      </c:catAx>
      <c:valAx>
        <c:axId val="1117840320"/>
        <c:scaling>
          <c:orientation val="minMax"/>
          <c:max val="5"/>
          <c:min val="1"/>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34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[B2B_Telecom_Customer_Analysis.xlsx]03_EDA_Analysis!PivotTable2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Revenue by Service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'03_EDA_Analysis'!$E$1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'03_EDA_Analysis'!$D$2:$D$7</c:f>
              <c:strCache>
                <c:ptCount val="5"/>
                <c:pt idx="0">
                  <c:v>IoT Connectivity</c:v>
                </c:pt>
                <c:pt idx="1">
                  <c:v>Cloud Voice</c:v>
                </c:pt>
                <c:pt idx="2">
                  <c:v>Business Internet</c:v>
                </c:pt>
                <c:pt idx="3">
                  <c:v>Business Mobile</c:v>
                </c:pt>
                <c:pt idx="4">
                  <c:v>Mobile + Internet</c:v>
                </c:pt>
              </c:strCache>
            </c:strRef>
          </c:cat>
          <c:val>
            <c:numRef>
              <c:f>'03_EDA_Analysis'!$E$2:$E$7</c:f>
              <c:numCache>
                <c:formatCode>\$#,##0</c:formatCode>
                <c:ptCount val="5"/>
                <c:pt idx="0">
                  <c:v>18195</c:v>
                </c:pt>
                <c:pt idx="1">
                  <c:v>24170</c:v>
                </c:pt>
                <c:pt idx="2">
                  <c:v>24345</c:v>
                </c:pt>
                <c:pt idx="3">
                  <c:v>43430</c:v>
                </c:pt>
                <c:pt idx="4">
                  <c:v>44460</c:v>
                </c:pt>
              </c:numCache>
            </c:numRef>
          </c:val>
          <c:extLst>
            <c:ext xmlns:c16="http://schemas.microsoft.com/office/drawing/2014/chart" uri="{C3380CC4-5D6E-409C-BE32-E72D297353CC}">
              <c16:uniqueId val="{00000000-9366-46E1-8219-FF63FE2DE369}"/>
            </c:ext>
          </c:extLst>
        </c:ser>
        <c:dLbls>
          <c:showLegendKey val="0"/>
          <c:showVal val="0"/>
          <c:showCatName val="0"/>
          <c:showSerName val="0"/>
          <c:showPercent val="0"/>
          <c:showBubbleSize val="0"/>
        </c:dLbls>
        <c:gapWidth val="182"/>
        <c:axId val="1554110128"/>
        <c:axId val="1117834080"/>
      </c:barChart>
      <c:catAx>
        <c:axId val="1554110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834080"/>
        <c:crosses val="autoZero"/>
        <c:auto val="1"/>
        <c:lblAlgn val="ctr"/>
        <c:lblOffset val="100"/>
        <c:noMultiLvlLbl val="0"/>
      </c:catAx>
      <c:valAx>
        <c:axId val="11178340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11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[B2B_Telecom_Customer_Analysis.xlsx]03_EDA_Analysis!PivotTable11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Revenue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'03_EDA_Analysis'!$J$10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'03_EDA_Analysis'!$I$11:$I$15</c:f>
              <c:strCache>
                <c:ptCount val="4"/>
                <c:pt idx="0">
                  <c:v>Midwest</c:v>
                </c:pt>
                <c:pt idx="1">
                  <c:v>Northeast</c:v>
                </c:pt>
                <c:pt idx="2">
                  <c:v>South</c:v>
                </c:pt>
                <c:pt idx="3">
                  <c:v>West</c:v>
                </c:pt>
              </c:strCache>
            </c:strRef>
          </c:cat>
          <c:val>
            <c:numRef>
              <c:f>'03_EDA_Analysis'!$J$11:$J$15</c:f>
              <c:numCache>
                <c:formatCode>\$#,##0</c:formatCode>
                <c:ptCount val="4"/>
                <c:pt idx="0">
                  <c:v>42240</c:v>
                </c:pt>
                <c:pt idx="1">
                  <c:v>36300</c:v>
                </c:pt>
                <c:pt idx="2">
                  <c:v>44425</c:v>
                </c:pt>
                <c:pt idx="3">
                  <c:v>31635</c:v>
                </c:pt>
              </c:numCache>
            </c:numRef>
          </c:val>
          <c:extLst>
            <c:ext xmlns:c16="http://schemas.microsoft.com/office/drawing/2014/chart" uri="{C3380CC4-5D6E-409C-BE32-E72D297353CC}">
              <c16:uniqueId val="{00000000-47B1-456B-896A-1E6EE4BAFA12}"/>
            </c:ext>
          </c:extLst>
        </c:ser>
        <c:dLbls>
          <c:showLegendKey val="0"/>
          <c:showVal val="0"/>
          <c:showCatName val="0"/>
          <c:showSerName val="0"/>
          <c:showPercent val="0"/>
          <c:showBubbleSize val="0"/>
        </c:dLbls>
        <c:gapWidth val="219"/>
        <c:overlap val="-27"/>
        <c:axId val="665241264"/>
        <c:axId val="1117851360"/>
      </c:barChart>
      <c:catAx>
        <c:axId val="66524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851360"/>
        <c:crosses val="autoZero"/>
        <c:auto val="1"/>
        <c:lblAlgn val="ctr"/>
        <c:lblOffset val="100"/>
        <c:noMultiLvlLbl val="0"/>
      </c:catAx>
      <c:valAx>
        <c:axId val="11178513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24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[B2B_Telecom_Customer_Analysis.xlsx]03_EDA_Analysis!PivotTable3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 Monthly Revenue by Plan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'03_EDA_Analysis'!$H$1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'03_EDA_Analysis'!$G$2:$G$5</c:f>
              <c:strCache>
                <c:ptCount val="3"/>
                <c:pt idx="0">
                  <c:v>Business Plus</c:v>
                </c:pt>
                <c:pt idx="1">
                  <c:v>Essential</c:v>
                </c:pt>
                <c:pt idx="2">
                  <c:v>Premium</c:v>
                </c:pt>
              </c:strCache>
            </c:strRef>
          </c:cat>
          <c:val>
            <c:numRef>
              <c:f>'03_EDA_Analysis'!$H$2:$H$5</c:f>
              <c:numCache>
                <c:formatCode>\$#,##0</c:formatCode>
                <c:ptCount val="3"/>
                <c:pt idx="0">
                  <c:v>48370</c:v>
                </c:pt>
                <c:pt idx="1">
                  <c:v>44445</c:v>
                </c:pt>
                <c:pt idx="2">
                  <c:v>61785</c:v>
                </c:pt>
              </c:numCache>
            </c:numRef>
          </c:val>
          <c:extLst>
            <c:ext xmlns:c16="http://schemas.microsoft.com/office/drawing/2014/chart" uri="{C3380CC4-5D6E-409C-BE32-E72D297353CC}">
              <c16:uniqueId val="{00000000-6CCA-4B58-9531-ADECFF7C2408}"/>
            </c:ext>
          </c:extLst>
        </c:ser>
        <c:dLbls>
          <c:showLegendKey val="0"/>
          <c:showVal val="0"/>
          <c:showCatName val="0"/>
          <c:showSerName val="0"/>
          <c:showPercent val="0"/>
          <c:showBubbleSize val="0"/>
        </c:dLbls>
        <c:gapWidth val="219"/>
        <c:axId val="1522148976"/>
        <c:axId val="1548088032"/>
      </c:barChart>
      <c:catAx>
        <c:axId val="152214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088032"/>
        <c:crosses val="autoZero"/>
        <c:auto val="1"/>
        <c:lblAlgn val="ctr"/>
        <c:lblOffset val="100"/>
        <c:noMultiLvlLbl val="0"/>
      </c:catAx>
      <c:valAx>
        <c:axId val="15480880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1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[B2B_Telecom_Customer_Analysis.xlsx]03_EDA_Analysis!PivotTable9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Satisfaction by Service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'03_EDA_Analysis'!$B$10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'03_EDA_Analysis'!$A$11:$A$16</c:f>
              <c:strCache>
                <c:ptCount val="5"/>
                <c:pt idx="0">
                  <c:v>Business Internet</c:v>
                </c:pt>
                <c:pt idx="1">
                  <c:v>Business Mobile</c:v>
                </c:pt>
                <c:pt idx="2">
                  <c:v>IoT Connectivity</c:v>
                </c:pt>
                <c:pt idx="3">
                  <c:v>Cloud Voice</c:v>
                </c:pt>
                <c:pt idx="4">
                  <c:v>Mobile + Internet</c:v>
                </c:pt>
              </c:strCache>
            </c:strRef>
          </c:cat>
          <c:val>
            <c:numRef>
              <c:f>'03_EDA_Analysis'!$B$11:$B$16</c:f>
              <c:numCache>
                <c:formatCode>0.00</c:formatCode>
                <c:ptCount val="5"/>
                <c:pt idx="0">
                  <c:v>3.6621621621621623</c:v>
                </c:pt>
                <c:pt idx="1">
                  <c:v>3.716417910447761</c:v>
                </c:pt>
                <c:pt idx="2">
                  <c:v>3.7285714285714286</c:v>
                </c:pt>
                <c:pt idx="3">
                  <c:v>3.810810810810811</c:v>
                </c:pt>
                <c:pt idx="4">
                  <c:v>3.8153846153846156</c:v>
                </c:pt>
              </c:numCache>
            </c:numRef>
          </c:val>
          <c:extLst>
            <c:ext xmlns:c16="http://schemas.microsoft.com/office/drawing/2014/chart" uri="{C3380CC4-5D6E-409C-BE32-E72D297353CC}">
              <c16:uniqueId val="{00000000-0312-44AE-8B28-71C36D726723}"/>
            </c:ext>
          </c:extLst>
        </c:ser>
        <c:dLbls>
          <c:showLegendKey val="0"/>
          <c:showVal val="0"/>
          <c:showCatName val="0"/>
          <c:showSerName val="0"/>
          <c:showPercent val="0"/>
          <c:showBubbleSize val="0"/>
        </c:dLbls>
        <c:gapWidth val="182"/>
        <c:axId val="664345088"/>
        <c:axId val="1117840320"/>
      </c:barChart>
      <c:catAx>
        <c:axId val="664345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840320"/>
        <c:crosses val="autoZero"/>
        <c:auto val="1"/>
        <c:lblAlgn val="ctr"/>
        <c:lblOffset val="100"/>
        <c:noMultiLvlLbl val="0"/>
      </c:catAx>
      <c:valAx>
        <c:axId val="1117840320"/>
        <c:scaling>
          <c:orientation val="minMax"/>
          <c:max val="5"/>
          <c:min val="1"/>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34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656272</xdr:colOff>
      <xdr:row>21</xdr:row>
      <xdr:rowOff>85725</xdr:rowOff>
    </xdr:from>
    <xdr:to>
      <xdr:col>3</xdr:col>
      <xdr:colOff>732472</xdr:colOff>
      <xdr:row>37</xdr:row>
      <xdr:rowOff>85725</xdr:rowOff>
    </xdr:to>
    <xdr:graphicFrame macro="">
      <xdr:nvGraphicFramePr>
        <xdr:cNvPr id="2" name="Chart 1">
          <a:extLst>
            <a:ext uri="{FF2B5EF4-FFF2-40B4-BE49-F238E27FC236}">
              <a16:creationId xmlns:a16="http://schemas.microsoft.com/office/drawing/2014/main" id="{D81DBD93-7EB9-5F3D-7E3D-3B55F0E070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644842</xdr:colOff>
      <xdr:row>15</xdr:row>
      <xdr:rowOff>139065</xdr:rowOff>
    </xdr:from>
    <xdr:to>
      <xdr:col>10</xdr:col>
      <xdr:colOff>368617</xdr:colOff>
      <xdr:row>31</xdr:row>
      <xdr:rowOff>139065</xdr:rowOff>
    </xdr:to>
    <xdr:graphicFrame macro="">
      <xdr:nvGraphicFramePr>
        <xdr:cNvPr id="3" name="Chart 2">
          <a:extLst>
            <a:ext uri="{FF2B5EF4-FFF2-40B4-BE49-F238E27FC236}">
              <a16:creationId xmlns:a16="http://schemas.microsoft.com/office/drawing/2014/main" id="{AC3D4445-F099-6B93-8BEC-ADE504AFB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715327</xdr:colOff>
      <xdr:row>14</xdr:row>
      <xdr:rowOff>38100</xdr:rowOff>
    </xdr:from>
    <xdr:to>
      <xdr:col>6</xdr:col>
      <xdr:colOff>724852</xdr:colOff>
      <xdr:row>30</xdr:row>
      <xdr:rowOff>38100</xdr:rowOff>
    </xdr:to>
    <xdr:graphicFrame macro="">
      <xdr:nvGraphicFramePr>
        <xdr:cNvPr id="4" name="Chart 3">
          <a:extLst>
            <a:ext uri="{FF2B5EF4-FFF2-40B4-BE49-F238E27FC236}">
              <a16:creationId xmlns:a16="http://schemas.microsoft.com/office/drawing/2014/main" id="{9878BBCD-AAE2-50D4-7AB7-56CCA8947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401002</xdr:colOff>
      <xdr:row>14</xdr:row>
      <xdr:rowOff>5715</xdr:rowOff>
    </xdr:from>
    <xdr:to>
      <xdr:col>13</xdr:col>
      <xdr:colOff>475297</xdr:colOff>
      <xdr:row>30</xdr:row>
      <xdr:rowOff>5715</xdr:rowOff>
    </xdr:to>
    <xdr:graphicFrame macro="">
      <xdr:nvGraphicFramePr>
        <xdr:cNvPr id="5" name="Chart 4">
          <a:extLst>
            <a:ext uri="{FF2B5EF4-FFF2-40B4-BE49-F238E27FC236}">
              <a16:creationId xmlns:a16="http://schemas.microsoft.com/office/drawing/2014/main" id="{9DD01DC1-7027-61C5-BB2A-4AE7437523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1438275</xdr:colOff>
      <xdr:row>8</xdr:row>
      <xdr:rowOff>140970</xdr:rowOff>
    </xdr:from>
    <xdr:to>
      <xdr:col>13</xdr:col>
      <xdr:colOff>647700</xdr:colOff>
      <xdr:row>13</xdr:row>
      <xdr:rowOff>131445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E00D9994-36F9-B6A1-93AB-70A4AF04A1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028295" y="1510665"/>
              <a:ext cx="3478530" cy="853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1554480</xdr:colOff>
      <xdr:row>19</xdr:row>
      <xdr:rowOff>78105</xdr:rowOff>
    </xdr:from>
    <xdr:to>
      <xdr:col>13</xdr:col>
      <xdr:colOff>512445</xdr:colOff>
      <xdr:row>25</xdr:row>
      <xdr:rowOff>0</xdr:rowOff>
    </xdr:to>
    <mc:AlternateContent xmlns:mc="http://schemas.openxmlformats.org/markup-compatibility/2006" xmlns:a14="http://schemas.microsoft.com/office/drawing/2010/main">
      <mc:Choice Requires="a14">
        <xdr:graphicFrame macro="">
          <xdr:nvGraphicFramePr>
            <xdr:cNvPr id="7" name="Plan">
              <a:extLst>
                <a:ext uri="{FF2B5EF4-FFF2-40B4-BE49-F238E27FC236}">
                  <a16:creationId xmlns:a16="http://schemas.microsoft.com/office/drawing/2014/main" id="{9AE1E9E9-FC04-CA45-9DFC-9B2B31F430A1}"/>
                </a:ext>
              </a:extLst>
            </xdr:cNvPr>
            <xdr:cNvGraphicFramePr/>
          </xdr:nvGraphicFramePr>
          <xdr:xfrm>
            <a:off x="0" y="0"/>
            <a:ext cx="0" cy="0"/>
          </xdr:xfrm>
          <a:graphic>
            <a:graphicData uri="http://schemas.microsoft.com/office/drawing/2010/slicer">
              <sle:slicer xmlns:sle="http://schemas.microsoft.com/office/drawing/2010/slicer" name="Plan"/>
            </a:graphicData>
          </a:graphic>
        </xdr:graphicFrame>
      </mc:Choice>
      <mc:Fallback xmlns="">
        <xdr:sp macro="" textlink="">
          <xdr:nvSpPr>
            <xdr:cNvPr id="0" name=""/>
            <xdr:cNvSpPr>
              <a:spLocks noTextEdit="1"/>
            </xdr:cNvSpPr>
          </xdr:nvSpPr>
          <xdr:spPr>
            <a:xfrm>
              <a:off x="14582775" y="3335655"/>
              <a:ext cx="1792605" cy="950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643890</xdr:colOff>
      <xdr:row>12</xdr:row>
      <xdr:rowOff>129540</xdr:rowOff>
    </xdr:from>
    <xdr:to>
      <xdr:col>5</xdr:col>
      <xdr:colOff>407670</xdr:colOff>
      <xdr:row>28</xdr:row>
      <xdr:rowOff>129540</xdr:rowOff>
    </xdr:to>
    <xdr:graphicFrame macro="">
      <xdr:nvGraphicFramePr>
        <xdr:cNvPr id="2" name="Chart 1">
          <a:extLst>
            <a:ext uri="{FF2B5EF4-FFF2-40B4-BE49-F238E27FC236}">
              <a16:creationId xmlns:a16="http://schemas.microsoft.com/office/drawing/2014/main" id="{0960215B-6B99-4B48-88FB-BDC110695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1904</xdr:colOff>
      <xdr:row>12</xdr:row>
      <xdr:rowOff>129540</xdr:rowOff>
    </xdr:from>
    <xdr:to>
      <xdr:col>13</xdr:col>
      <xdr:colOff>297179</xdr:colOff>
      <xdr:row>28</xdr:row>
      <xdr:rowOff>129540</xdr:rowOff>
    </xdr:to>
    <xdr:graphicFrame macro="">
      <xdr:nvGraphicFramePr>
        <xdr:cNvPr id="3" name="Chart 2">
          <a:extLst>
            <a:ext uri="{FF2B5EF4-FFF2-40B4-BE49-F238E27FC236}">
              <a16:creationId xmlns:a16="http://schemas.microsoft.com/office/drawing/2014/main" id="{E0CA1735-531F-4DAA-BC1E-C2085FBE6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659130</xdr:colOff>
      <xdr:row>29</xdr:row>
      <xdr:rowOff>59054</xdr:rowOff>
    </xdr:from>
    <xdr:to>
      <xdr:col>5</xdr:col>
      <xdr:colOff>421005</xdr:colOff>
      <xdr:row>45</xdr:row>
      <xdr:rowOff>59054</xdr:rowOff>
    </xdr:to>
    <xdr:graphicFrame macro="">
      <xdr:nvGraphicFramePr>
        <xdr:cNvPr id="4" name="Chart 3">
          <a:extLst>
            <a:ext uri="{FF2B5EF4-FFF2-40B4-BE49-F238E27FC236}">
              <a16:creationId xmlns:a16="http://schemas.microsoft.com/office/drawing/2014/main" id="{7D23FDA5-0A28-44E2-9684-337CC2095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15241</xdr:colOff>
      <xdr:row>29</xdr:row>
      <xdr:rowOff>59054</xdr:rowOff>
    </xdr:from>
    <xdr:to>
      <xdr:col>13</xdr:col>
      <xdr:colOff>312421</xdr:colOff>
      <xdr:row>45</xdr:row>
      <xdr:rowOff>59054</xdr:rowOff>
    </xdr:to>
    <xdr:graphicFrame macro="">
      <xdr:nvGraphicFramePr>
        <xdr:cNvPr id="5" name="Chart 4">
          <a:extLst>
            <a:ext uri="{FF2B5EF4-FFF2-40B4-BE49-F238E27FC236}">
              <a16:creationId xmlns:a16="http://schemas.microsoft.com/office/drawing/2014/main" id="{15801F68-11B5-452C-A9C7-EEDD39ED4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19048</xdr:colOff>
      <xdr:row>8</xdr:row>
      <xdr:rowOff>129540</xdr:rowOff>
    </xdr:from>
    <xdr:to>
      <xdr:col>5</xdr:col>
      <xdr:colOff>9525</xdr:colOff>
      <xdr:row>12</xdr:row>
      <xdr:rowOff>47625</xdr:rowOff>
    </xdr:to>
    <mc:AlternateContent xmlns:mc="http://schemas.openxmlformats.org/markup-compatibility/2006" xmlns:a14="http://schemas.microsoft.com/office/drawing/2010/main">
      <mc:Choice Requires="a14">
        <xdr:graphicFrame macro="">
          <xdr:nvGraphicFramePr>
            <xdr:cNvPr id="6" name="Plan 1">
              <a:extLst>
                <a:ext uri="{FF2B5EF4-FFF2-40B4-BE49-F238E27FC236}">
                  <a16:creationId xmlns:a16="http://schemas.microsoft.com/office/drawing/2014/main" id="{C0DD49DD-B726-4FC0-A9DC-127193D16150}"/>
                </a:ext>
              </a:extLst>
            </xdr:cNvPr>
            <xdr:cNvGraphicFramePr/>
          </xdr:nvGraphicFramePr>
          <xdr:xfrm>
            <a:off x="0" y="0"/>
            <a:ext cx="0" cy="0"/>
          </xdr:xfrm>
          <a:graphic>
            <a:graphicData uri="http://schemas.microsoft.com/office/drawing/2010/slicer">
              <sle:slicer xmlns:sle="http://schemas.microsoft.com/office/drawing/2010/slicer" name="Plan 1"/>
            </a:graphicData>
          </a:graphic>
        </xdr:graphicFrame>
      </mc:Choice>
      <mc:Fallback xmlns="">
        <xdr:sp macro="" textlink="">
          <xdr:nvSpPr>
            <xdr:cNvPr id="0" name=""/>
            <xdr:cNvSpPr>
              <a:spLocks noTextEdit="1"/>
            </xdr:cNvSpPr>
          </xdr:nvSpPr>
          <xdr:spPr>
            <a:xfrm>
              <a:off x="689608" y="1905000"/>
              <a:ext cx="3855722" cy="601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9525</xdr:colOff>
      <xdr:row>8</xdr:row>
      <xdr:rowOff>123825</xdr:rowOff>
    </xdr:from>
    <xdr:to>
      <xdr:col>13</xdr:col>
      <xdr:colOff>36195</xdr:colOff>
      <xdr:row>12</xdr:row>
      <xdr:rowOff>26670</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DB5BD4CA-BBD0-40FA-AEA0-36F409C45CC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878830" y="1897380"/>
              <a:ext cx="4025265" cy="5848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m toni" refreshedDate="46257.749235648145" createdVersion="8" refreshedVersion="8" minRefreshableVersion="3" recordCount="350" xr:uid="{9800AC71-51EE-4ED5-93EB-15374E3C0EE9}">
  <cacheSource type="worksheet">
    <worksheetSource ref="A1:M351" sheet="02_Cleaned_Data"/>
  </cacheSource>
  <cacheFields count="13">
    <cacheField name="Customer ID" numFmtId="0">
      <sharedItems/>
    </cacheField>
    <cacheField name="Customer Name" numFmtId="0">
      <sharedItems/>
    </cacheField>
    <cacheField name="Region" numFmtId="0">
      <sharedItems count="4">
        <s v="Midwest"/>
        <s v="South"/>
        <s v="Northeast"/>
        <s v="West"/>
      </sharedItems>
    </cacheField>
    <cacheField name="Account Representative" numFmtId="0">
      <sharedItems/>
    </cacheField>
    <cacheField name="Industry" numFmtId="0">
      <sharedItems/>
    </cacheField>
    <cacheField name="Service Type" numFmtId="0">
      <sharedItems count="5">
        <s v="Business Mobile"/>
        <s v="Mobile + Internet"/>
        <s v="Business Internet"/>
        <s v="IoT Connectivity"/>
        <s v="Cloud Voice"/>
      </sharedItems>
    </cacheField>
    <cacheField name="Plan" numFmtId="0">
      <sharedItems count="3">
        <s v="Business Plus"/>
        <s v="Essential"/>
        <s v="Premium"/>
      </sharedItems>
    </cacheField>
    <cacheField name="Service Start Date" numFmtId="164">
      <sharedItems containsSemiMixedTypes="0" containsNonDate="0" containsDate="1" containsString="0" minDate="2024-01-03T00:00:00" maxDate="2026-06-19T00:00:00"/>
    </cacheField>
    <cacheField name="Monthly Charge" numFmtId="165">
      <sharedItems containsSemiMixedTypes="0" containsString="0" containsNumber="1" containsInteger="1" minValue="-145" maxValue="1570"/>
    </cacheField>
    <cacheField name="Number of Lines" numFmtId="0">
      <sharedItems containsSemiMixedTypes="0" containsString="0" containsNumber="1" containsInteger="1" minValue="0" maxValue="80"/>
    </cacheField>
    <cacheField name="Customer Status" numFmtId="0">
      <sharedItems count="2">
        <s v="Inactive"/>
        <s v="Active"/>
      </sharedItems>
    </cacheField>
    <cacheField name="Payment Status" numFmtId="0">
      <sharedItems count="3">
        <s v="Overdue"/>
        <s v="Paid"/>
        <s v="Pending"/>
      </sharedItems>
    </cacheField>
    <cacheField name="Satisfaction Score" numFmtId="0">
      <sharedItems containsSemiMixedTypes="0" containsString="0" containsNumber="1" containsInteger="1" minValue="2" maxValue="8"/>
    </cacheField>
  </cacheFields>
  <extLst>
    <ext xmlns:x14="http://schemas.microsoft.com/office/spreadsheetml/2009/9/main" uri="{725AE2AE-9491-48be-B2B4-4EB974FC3084}">
      <x14:pivotCacheDefinition pivotCacheId="3015392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CUST-20001"/>
    <s v="Clearwater Logistics"/>
    <x v="0"/>
    <s v="Casey Brown"/>
    <s v="Financial Services"/>
    <x v="0"/>
    <x v="0"/>
    <d v="2025-05-29T00:00:00"/>
    <n v="895"/>
    <n v="63"/>
    <x v="0"/>
    <x v="0"/>
    <n v="4"/>
  </r>
  <r>
    <s v="CUST-20002"/>
    <s v="Northstar Group"/>
    <x v="1"/>
    <s v="Alex Johnson"/>
    <s v="Financial Services"/>
    <x v="0"/>
    <x v="0"/>
    <d v="2024-01-23T00:00:00"/>
    <n v="475"/>
    <n v="34"/>
    <x v="1"/>
    <x v="0"/>
    <n v="4"/>
  </r>
  <r>
    <s v="CUST-20003"/>
    <s v="Summit Services"/>
    <x v="1"/>
    <s v="Taylor Smith"/>
    <s v="Healthcare"/>
    <x v="0"/>
    <x v="1"/>
    <d v="2024-09-28T00:00:00"/>
    <n v="995"/>
    <n v="74"/>
    <x v="1"/>
    <x v="1"/>
    <n v="4"/>
  </r>
  <r>
    <s v="CUST-20004"/>
    <s v="Prairie Enterprises"/>
    <x v="2"/>
    <s v="Alex Johnson"/>
    <s v="Financial Services"/>
    <x v="1"/>
    <x v="0"/>
    <d v="2025-12-26T00:00:00"/>
    <n v="375"/>
    <n v="8"/>
    <x v="1"/>
    <x v="1"/>
    <n v="3"/>
  </r>
  <r>
    <s v="CUST-20005"/>
    <s v="Clearwater Services"/>
    <x v="2"/>
    <s v="Taylor Smith"/>
    <s v="Retail"/>
    <x v="2"/>
    <x v="2"/>
    <d v="2024-05-15T00:00:00"/>
    <n v="390"/>
    <n v="18"/>
    <x v="1"/>
    <x v="1"/>
    <n v="4"/>
  </r>
  <r>
    <s v="CUST-20006"/>
    <s v="Summit Technologies"/>
    <x v="3"/>
    <s v="Morgan Davis"/>
    <s v="Retail"/>
    <x v="3"/>
    <x v="1"/>
    <d v="2025-02-06T00:00:00"/>
    <n v="95"/>
    <n v="2"/>
    <x v="1"/>
    <x v="1"/>
    <n v="3"/>
  </r>
  <r>
    <s v="CUST-20007"/>
    <s v="Oakridge Group"/>
    <x v="1"/>
    <s v="Riley Wilson"/>
    <s v="Financial Services"/>
    <x v="0"/>
    <x v="1"/>
    <d v="2026-04-12T00:00:00"/>
    <n v="1315"/>
    <n v="72"/>
    <x v="1"/>
    <x v="2"/>
    <n v="2"/>
  </r>
  <r>
    <s v="CUST-20008"/>
    <s v="Riverside Industries"/>
    <x v="2"/>
    <s v="Taylor Smith"/>
    <s v="Manufacturing"/>
    <x v="0"/>
    <x v="2"/>
    <d v="2024-04-17T00:00:00"/>
    <n v="625"/>
    <n v="35"/>
    <x v="1"/>
    <x v="1"/>
    <n v="2"/>
  </r>
  <r>
    <s v="CUST-20009"/>
    <s v="Parkway Partners"/>
    <x v="3"/>
    <s v="Alex Johnson"/>
    <s v="Technology"/>
    <x v="1"/>
    <x v="2"/>
    <d v="2024-07-21T00:00:00"/>
    <n v="560"/>
    <n v="19"/>
    <x v="1"/>
    <x v="1"/>
    <n v="4"/>
  </r>
  <r>
    <s v="CUST-20010"/>
    <s v="Oakridge Solutions"/>
    <x v="3"/>
    <s v="Jordan Lee"/>
    <s v="Manufacturing"/>
    <x v="4"/>
    <x v="1"/>
    <d v="2024-09-01T00:00:00"/>
    <n v="485"/>
    <n v="22"/>
    <x v="0"/>
    <x v="2"/>
    <n v="4"/>
  </r>
  <r>
    <s v="CUST-20011"/>
    <s v="Stonebridge Technologies"/>
    <x v="2"/>
    <s v="Casey Brown"/>
    <s v="Financial Services"/>
    <x v="3"/>
    <x v="2"/>
    <d v="2024-10-06T00:00:00"/>
    <n v="235"/>
    <n v="7"/>
    <x v="1"/>
    <x v="2"/>
    <n v="3"/>
  </r>
  <r>
    <s v="CUST-20012"/>
    <s v="Summit Logistics"/>
    <x v="1"/>
    <s v="Riley Wilson"/>
    <s v="Manufacturing"/>
    <x v="1"/>
    <x v="0"/>
    <d v="2025-01-07T00:00:00"/>
    <n v="1130"/>
    <n v="69"/>
    <x v="1"/>
    <x v="0"/>
    <n v="5"/>
  </r>
  <r>
    <s v="CUST-20013"/>
    <s v="Brighton Industries"/>
    <x v="1"/>
    <s v="Alex Johnson"/>
    <s v="Financial Services"/>
    <x v="4"/>
    <x v="0"/>
    <d v="2026-03-23T00:00:00"/>
    <n v="455"/>
    <n v="23"/>
    <x v="1"/>
    <x v="2"/>
    <n v="4"/>
  </r>
  <r>
    <s v="CUST-20014"/>
    <s v="BlueRiver Technologies"/>
    <x v="2"/>
    <s v="Taylor Smith"/>
    <s v="Financial Services"/>
    <x v="0"/>
    <x v="1"/>
    <d v="2024-07-24T00:00:00"/>
    <n v="1045"/>
    <n v="75"/>
    <x v="0"/>
    <x v="1"/>
    <n v="3"/>
  </r>
  <r>
    <s v="CUST-20015"/>
    <s v="Stonebridge Technologies"/>
    <x v="0"/>
    <s v="Jordan Lee"/>
    <s v="Retail"/>
    <x v="4"/>
    <x v="1"/>
    <d v="2025-03-29T00:00:00"/>
    <n v="270"/>
    <n v="12"/>
    <x v="0"/>
    <x v="1"/>
    <n v="4"/>
  </r>
  <r>
    <s v="CUST-20016"/>
    <s v="Oakridge Solutions"/>
    <x v="2"/>
    <s v="Alex Johnson"/>
    <s v="Manufacturing"/>
    <x v="3"/>
    <x v="2"/>
    <d v="2025-08-26T00:00:00"/>
    <n v="520"/>
    <n v="25"/>
    <x v="1"/>
    <x v="1"/>
    <n v="3"/>
  </r>
  <r>
    <s v="CUST-20017"/>
    <s v="Summit Services"/>
    <x v="1"/>
    <s v="Casey Brown"/>
    <s v="Healthcare"/>
    <x v="3"/>
    <x v="2"/>
    <d v="2024-08-18T00:00:00"/>
    <n v="235"/>
    <n v="4"/>
    <x v="1"/>
    <x v="1"/>
    <n v="4"/>
  </r>
  <r>
    <s v="CUST-20018"/>
    <s v="BlueRiver Enterprises"/>
    <x v="3"/>
    <s v="Morgan Davis"/>
    <s v="Technology"/>
    <x v="1"/>
    <x v="2"/>
    <d v="2026-04-27T00:00:00"/>
    <n v="565"/>
    <n v="28"/>
    <x v="1"/>
    <x v="1"/>
    <n v="3"/>
  </r>
  <r>
    <s v="CUST-20019"/>
    <s v="Northstar Industries"/>
    <x v="2"/>
    <s v="Morgan Davis"/>
    <s v="Healthcare"/>
    <x v="3"/>
    <x v="0"/>
    <d v="2024-10-03T00:00:00"/>
    <n v="215"/>
    <n v="7"/>
    <x v="1"/>
    <x v="1"/>
    <n v="4"/>
  </r>
  <r>
    <s v="CUST-20020"/>
    <s v="Lakeview Manufacturing"/>
    <x v="1"/>
    <s v="Jordan Lee"/>
    <s v="Financial Services"/>
    <x v="2"/>
    <x v="2"/>
    <d v="2024-03-11T00:00:00"/>
    <n v="435"/>
    <n v="10"/>
    <x v="0"/>
    <x v="1"/>
    <n v="4"/>
  </r>
  <r>
    <s v="CUST-20021"/>
    <s v="Prairie Logistics"/>
    <x v="0"/>
    <s v="Morgan Davis"/>
    <s v="Financial Services"/>
    <x v="1"/>
    <x v="0"/>
    <d v="2025-02-25T00:00:00"/>
    <n v="640"/>
    <n v="23"/>
    <x v="1"/>
    <x v="0"/>
    <n v="4"/>
  </r>
  <r>
    <s v="CUST-20022"/>
    <s v="Riverside Systems"/>
    <x v="0"/>
    <s v="Jordan Lee"/>
    <s v="Retail"/>
    <x v="2"/>
    <x v="0"/>
    <d v="2024-02-02T00:00:00"/>
    <n v="225"/>
    <n v="4"/>
    <x v="1"/>
    <x v="1"/>
    <n v="4"/>
  </r>
  <r>
    <s v="CUST-20023"/>
    <s v="Summit Services"/>
    <x v="1"/>
    <s v="Riley Wilson"/>
    <s v="Retail"/>
    <x v="1"/>
    <x v="1"/>
    <d v="2025-08-05T00:00:00"/>
    <n v="515"/>
    <n v="45"/>
    <x v="0"/>
    <x v="1"/>
    <n v="4"/>
  </r>
  <r>
    <s v="CUST-20024"/>
    <s v="Evergreen Enterprises"/>
    <x v="2"/>
    <s v="Riley Wilson"/>
    <s v="Manufacturing"/>
    <x v="0"/>
    <x v="2"/>
    <d v="2025-08-25T00:00:00"/>
    <n v="435"/>
    <n v="42"/>
    <x v="1"/>
    <x v="2"/>
    <n v="4"/>
  </r>
  <r>
    <s v="CUST-20025"/>
    <s v="Unknown"/>
    <x v="1"/>
    <s v="Jordan Lee"/>
    <s v="Healthcare"/>
    <x v="4"/>
    <x v="1"/>
    <d v="2025-08-09T00:00:00"/>
    <n v="210"/>
    <n v="9"/>
    <x v="1"/>
    <x v="0"/>
    <n v="4"/>
  </r>
  <r>
    <s v="CUST-20026"/>
    <s v="Northstar Systems"/>
    <x v="1"/>
    <s v="Taylor Smith"/>
    <s v="Logistics"/>
    <x v="3"/>
    <x v="1"/>
    <d v="2025-03-05T00:00:00"/>
    <n v="435"/>
    <n v="25"/>
    <x v="0"/>
    <x v="0"/>
    <n v="4"/>
  </r>
  <r>
    <s v="CUST-20027"/>
    <s v="Brighton Logistics"/>
    <x v="3"/>
    <s v="Morgan Davis"/>
    <s v="Financial Services"/>
    <x v="4"/>
    <x v="0"/>
    <d v="2026-02-07T00:00:00"/>
    <n v="510"/>
    <n v="20"/>
    <x v="1"/>
    <x v="1"/>
    <n v="3"/>
  </r>
  <r>
    <s v="CUST-20028"/>
    <s v="Granite Services"/>
    <x v="0"/>
    <s v="Morgan Davis"/>
    <s v="Financial Services"/>
    <x v="0"/>
    <x v="2"/>
    <d v="2025-11-05T00:00:00"/>
    <n v="1480"/>
    <n v="72"/>
    <x v="1"/>
    <x v="1"/>
    <n v="4"/>
  </r>
  <r>
    <s v="CUST-20029"/>
    <s v="Riverside Logistics"/>
    <x v="2"/>
    <s v="Casey Brown"/>
    <s v="Logistics"/>
    <x v="2"/>
    <x v="1"/>
    <d v="2025-01-16T00:00:00"/>
    <n v="355"/>
    <n v="17"/>
    <x v="1"/>
    <x v="2"/>
    <n v="4"/>
  </r>
  <r>
    <s v="CUST-20030"/>
    <s v="Metro Partners"/>
    <x v="1"/>
    <s v="Casey Brown"/>
    <s v="Retail"/>
    <x v="1"/>
    <x v="0"/>
    <d v="2024-02-03T00:00:00"/>
    <n v="1410"/>
    <n v="67"/>
    <x v="1"/>
    <x v="1"/>
    <n v="5"/>
  </r>
  <r>
    <s v="CUST-20031"/>
    <s v="Horizon Systems"/>
    <x v="2"/>
    <s v="Riley Wilson"/>
    <s v="Retail"/>
    <x v="4"/>
    <x v="2"/>
    <d v="2024-12-31T00:00:00"/>
    <n v="355"/>
    <n v="11"/>
    <x v="1"/>
    <x v="1"/>
    <n v="5"/>
  </r>
  <r>
    <s v="CUST-20032"/>
    <s v="Highland Services"/>
    <x v="3"/>
    <s v="Alex Johnson"/>
    <s v="Financial Services"/>
    <x v="2"/>
    <x v="1"/>
    <d v="2024-12-10T00:00:00"/>
    <n v="230"/>
    <n v="19"/>
    <x v="1"/>
    <x v="1"/>
    <n v="3"/>
  </r>
  <r>
    <s v="CUST-20033"/>
    <s v="Oakridge Services"/>
    <x v="0"/>
    <s v="Casey Brown"/>
    <s v="Logistics"/>
    <x v="3"/>
    <x v="1"/>
    <d v="2024-01-03T00:00:00"/>
    <n v="160"/>
    <n v="6"/>
    <x v="1"/>
    <x v="1"/>
    <n v="3"/>
  </r>
  <r>
    <s v="CUST-20034"/>
    <s v="Metro Services"/>
    <x v="1"/>
    <s v="Riley Wilson"/>
    <s v="Retail"/>
    <x v="4"/>
    <x v="0"/>
    <d v="2026-01-20T00:00:00"/>
    <n v="225"/>
    <n v="5"/>
    <x v="0"/>
    <x v="1"/>
    <n v="5"/>
  </r>
  <r>
    <s v="CUST-20035"/>
    <s v="Highland Solutions"/>
    <x v="1"/>
    <s v="Riley Wilson"/>
    <s v="Logistics"/>
    <x v="1"/>
    <x v="1"/>
    <d v="2025-02-05T00:00:00"/>
    <n v="835"/>
    <n v="50"/>
    <x v="0"/>
    <x v="1"/>
    <n v="4"/>
  </r>
  <r>
    <s v="CUST-20036"/>
    <s v="Oakridge Industries"/>
    <x v="1"/>
    <s v="Riley Wilson"/>
    <s v="Technology"/>
    <x v="0"/>
    <x v="2"/>
    <d v="2025-05-22T00:00:00"/>
    <n v="645"/>
    <n v="26"/>
    <x v="0"/>
    <x v="2"/>
    <n v="5"/>
  </r>
  <r>
    <s v="CUST-20037"/>
    <s v="Summit Enterprises"/>
    <x v="1"/>
    <s v="Jordan Lee"/>
    <s v="Manufacturing"/>
    <x v="4"/>
    <x v="0"/>
    <d v="2024-08-01T00:00:00"/>
    <n v="385"/>
    <n v="23"/>
    <x v="1"/>
    <x v="0"/>
    <n v="5"/>
  </r>
  <r>
    <s v="CUST-20038"/>
    <s v="Lakeview Enterprises"/>
    <x v="0"/>
    <s v="Riley Wilson"/>
    <s v="Logistics"/>
    <x v="1"/>
    <x v="0"/>
    <d v="2025-11-22T00:00:00"/>
    <n v="1045"/>
    <n v="73"/>
    <x v="1"/>
    <x v="0"/>
    <n v="4"/>
  </r>
  <r>
    <s v="CUST-20039"/>
    <s v="Redwood Group"/>
    <x v="2"/>
    <s v="Casey Brown"/>
    <s v="Retail"/>
    <x v="0"/>
    <x v="2"/>
    <d v="2026-05-18T00:00:00"/>
    <n v="745"/>
    <n v="67"/>
    <x v="0"/>
    <x v="1"/>
    <n v="5"/>
  </r>
  <r>
    <s v="CUST-20040"/>
    <s v="Northstar Services"/>
    <x v="0"/>
    <s v="Casey Brown"/>
    <s v="Logistics"/>
    <x v="3"/>
    <x v="2"/>
    <d v="2025-05-08T00:00:00"/>
    <n v="240"/>
    <n v="13"/>
    <x v="1"/>
    <x v="1"/>
    <n v="2"/>
  </r>
  <r>
    <s v="CUST-20041"/>
    <s v="Lakeview Systems"/>
    <x v="1"/>
    <s v="Taylor Smith"/>
    <s v="Technology"/>
    <x v="0"/>
    <x v="2"/>
    <d v="2024-04-15T00:00:00"/>
    <n v="635"/>
    <n v="35"/>
    <x v="1"/>
    <x v="2"/>
    <n v="5"/>
  </r>
  <r>
    <s v="CUST-20042"/>
    <s v="Summit Industries"/>
    <x v="2"/>
    <s v="Alex Johnson"/>
    <s v="Technology"/>
    <x v="2"/>
    <x v="2"/>
    <d v="2024-12-24T00:00:00"/>
    <n v="570"/>
    <n v="17"/>
    <x v="1"/>
    <x v="1"/>
    <n v="4"/>
  </r>
  <r>
    <s v="CUST-20043"/>
    <s v="Redwood Systems"/>
    <x v="2"/>
    <s v="Morgan Davis"/>
    <s v="Financial Services"/>
    <x v="2"/>
    <x v="0"/>
    <d v="2024-05-02T00:00:00"/>
    <n v="425"/>
    <n v="16"/>
    <x v="1"/>
    <x v="1"/>
    <n v="2"/>
  </r>
  <r>
    <s v="CUST-20044"/>
    <s v="Metro Services"/>
    <x v="3"/>
    <s v="Casey Brown"/>
    <s v="Manufacturing"/>
    <x v="3"/>
    <x v="2"/>
    <d v="2024-06-29T00:00:00"/>
    <n v="245"/>
    <n v="10"/>
    <x v="1"/>
    <x v="1"/>
    <n v="4"/>
  </r>
  <r>
    <s v="CUST-20045"/>
    <s v="Stonebridge Group"/>
    <x v="1"/>
    <s v="Casey Brown"/>
    <s v="Financial Services"/>
    <x v="0"/>
    <x v="2"/>
    <d v="2025-03-17T00:00:00"/>
    <n v="435"/>
    <n v="32"/>
    <x v="1"/>
    <x v="1"/>
    <n v="4"/>
  </r>
  <r>
    <s v="CUST-20046"/>
    <s v="Evergreen Logistics"/>
    <x v="2"/>
    <s v="Morgan Davis"/>
    <s v="Manufacturing"/>
    <x v="1"/>
    <x v="1"/>
    <d v="2024-02-23T00:00:00"/>
    <n v="705"/>
    <n v="73"/>
    <x v="0"/>
    <x v="0"/>
    <n v="4"/>
  </r>
  <r>
    <s v="CUST-20047"/>
    <s v="Metro Systems"/>
    <x v="3"/>
    <s v="Taylor Smith"/>
    <s v="Retail"/>
    <x v="3"/>
    <x v="1"/>
    <d v="2026-04-29T00:00:00"/>
    <n v="130"/>
    <n v="14"/>
    <x v="0"/>
    <x v="0"/>
    <n v="5"/>
  </r>
  <r>
    <s v="CUST-20048"/>
    <s v="Silverline Enterprises"/>
    <x v="2"/>
    <s v="Riley Wilson"/>
    <s v="Manufacturing"/>
    <x v="4"/>
    <x v="0"/>
    <d v="2024-02-11T00:00:00"/>
    <n v="460"/>
    <n v="17"/>
    <x v="1"/>
    <x v="1"/>
    <n v="4"/>
  </r>
  <r>
    <s v="CUST-20049"/>
    <s v="Redwood Services"/>
    <x v="2"/>
    <s v="Morgan Davis"/>
    <s v="Healthcare"/>
    <x v="2"/>
    <x v="2"/>
    <d v="2025-11-05T00:00:00"/>
    <n v="375"/>
    <n v="6"/>
    <x v="0"/>
    <x v="1"/>
    <n v="3"/>
  </r>
  <r>
    <s v="CUST-20050"/>
    <s v="Summit Enterprises"/>
    <x v="3"/>
    <s v="Taylor Smith"/>
    <s v="Manufacturing"/>
    <x v="2"/>
    <x v="1"/>
    <d v="2026-03-13T00:00:00"/>
    <n v="260"/>
    <n v="10"/>
    <x v="1"/>
    <x v="1"/>
    <n v="3"/>
  </r>
  <r>
    <s v="CUST-20051"/>
    <s v="Riverside Systems"/>
    <x v="1"/>
    <s v="Jordan Lee"/>
    <s v="Technology"/>
    <x v="3"/>
    <x v="2"/>
    <d v="2024-01-31T00:00:00"/>
    <n v="430"/>
    <n v="18"/>
    <x v="1"/>
    <x v="1"/>
    <n v="5"/>
  </r>
  <r>
    <s v="CUST-20052"/>
    <s v="Summit Solutions"/>
    <x v="0"/>
    <s v="Morgan Davis"/>
    <s v="Retail"/>
    <x v="0"/>
    <x v="2"/>
    <d v="2024-04-27T00:00:00"/>
    <n v="375"/>
    <n v="20"/>
    <x v="1"/>
    <x v="2"/>
    <n v="5"/>
  </r>
  <r>
    <s v="CUST-20053"/>
    <s v="Parkway Technologies"/>
    <x v="3"/>
    <s v="Taylor Smith"/>
    <s v="Logistics"/>
    <x v="3"/>
    <x v="0"/>
    <d v="2025-10-20T00:00:00"/>
    <n v="195"/>
    <n v="5"/>
    <x v="1"/>
    <x v="1"/>
    <n v="5"/>
  </r>
  <r>
    <s v="CUST-20054"/>
    <s v="Evergreen Systems"/>
    <x v="0"/>
    <s v="Jordan Lee"/>
    <s v="Manufacturing"/>
    <x v="1"/>
    <x v="1"/>
    <d v="2024-12-19T00:00:00"/>
    <n v="615"/>
    <n v="49"/>
    <x v="0"/>
    <x v="0"/>
    <n v="4"/>
  </r>
  <r>
    <s v="CUST-20055"/>
    <s v="Granite Enterprises"/>
    <x v="1"/>
    <s v="Riley Wilson"/>
    <s v="Technology"/>
    <x v="3"/>
    <x v="0"/>
    <d v="2025-07-13T00:00:00"/>
    <n v="295"/>
    <n v="16"/>
    <x v="1"/>
    <x v="1"/>
    <n v="2"/>
  </r>
  <r>
    <s v="CUST-20056"/>
    <s v="Highland Technologies"/>
    <x v="3"/>
    <s v="Casey Brown"/>
    <s v="Financial Services"/>
    <x v="0"/>
    <x v="2"/>
    <d v="2024-09-11T00:00:00"/>
    <n v="1145"/>
    <n v="78"/>
    <x v="1"/>
    <x v="2"/>
    <n v="3"/>
  </r>
  <r>
    <s v="CUST-20057"/>
    <s v="Stonebridge Partners"/>
    <x v="1"/>
    <s v="Alex Johnson"/>
    <s v="Retail"/>
    <x v="3"/>
    <x v="1"/>
    <d v="2024-10-19T00:00:00"/>
    <n v="230"/>
    <n v="14"/>
    <x v="1"/>
    <x v="1"/>
    <n v="4"/>
  </r>
  <r>
    <s v="CUST-20058"/>
    <s v="Riverside Logistics"/>
    <x v="1"/>
    <s v="Casey Brown"/>
    <s v="Technology"/>
    <x v="4"/>
    <x v="0"/>
    <d v="2024-11-08T00:00:00"/>
    <n v="200"/>
    <n v="3"/>
    <x v="1"/>
    <x v="1"/>
    <n v="4"/>
  </r>
  <r>
    <s v="CUST-20059"/>
    <s v="Oakridge Systems"/>
    <x v="0"/>
    <s v="Riley Wilson"/>
    <s v="Healthcare"/>
    <x v="0"/>
    <x v="1"/>
    <d v="2026-02-03T00:00:00"/>
    <n v="130"/>
    <n v="5"/>
    <x v="1"/>
    <x v="2"/>
    <n v="3"/>
  </r>
  <r>
    <s v="CUST-20060"/>
    <s v="Silverline Manufacturing"/>
    <x v="0"/>
    <s v="Morgan Davis"/>
    <s v="Financial Services"/>
    <x v="0"/>
    <x v="0"/>
    <d v="2024-05-14T00:00:00"/>
    <n v="250"/>
    <n v="7"/>
    <x v="0"/>
    <x v="1"/>
    <n v="3"/>
  </r>
  <r>
    <s v="CUST-20061"/>
    <s v="Evergreen Technologies"/>
    <x v="3"/>
    <s v="Casey Brown"/>
    <s v="Retail"/>
    <x v="2"/>
    <x v="0"/>
    <d v="2024-08-07T00:00:00"/>
    <n v="235"/>
    <n v="5"/>
    <x v="1"/>
    <x v="1"/>
    <n v="3"/>
  </r>
  <r>
    <s v="CUST-20062"/>
    <s v="Stonebridge Technologies"/>
    <x v="1"/>
    <s v="Alex Johnson"/>
    <s v="Logistics"/>
    <x v="3"/>
    <x v="1"/>
    <d v="2024-09-27T00:00:00"/>
    <n v="85"/>
    <n v="2"/>
    <x v="1"/>
    <x v="1"/>
    <n v="2"/>
  </r>
  <r>
    <s v="CUST-20063"/>
    <s v="Metro Logistics"/>
    <x v="1"/>
    <s v="Casey Brown"/>
    <s v="Manufacturing"/>
    <x v="2"/>
    <x v="1"/>
    <d v="2025-02-08T00:00:00"/>
    <n v="190"/>
    <n v="19"/>
    <x v="1"/>
    <x v="1"/>
    <n v="4"/>
  </r>
  <r>
    <s v="CUST-20064"/>
    <s v="Horizon Manufacturing"/>
    <x v="0"/>
    <s v="Casey Brown"/>
    <s v="Manufacturing"/>
    <x v="1"/>
    <x v="2"/>
    <d v="2025-06-21T00:00:00"/>
    <n v="825"/>
    <n v="60"/>
    <x v="1"/>
    <x v="0"/>
    <n v="5"/>
  </r>
  <r>
    <s v="CUST-20065"/>
    <s v="Silverline Enterprises"/>
    <x v="2"/>
    <s v="Morgan Davis"/>
    <s v="Logistics"/>
    <x v="3"/>
    <x v="0"/>
    <d v="2025-10-28T00:00:00"/>
    <n v="135"/>
    <n v="3"/>
    <x v="1"/>
    <x v="1"/>
    <n v="3"/>
  </r>
  <r>
    <s v="CUST-20066"/>
    <s v="Horizon Manufacturing"/>
    <x v="1"/>
    <s v="Alex Johnson"/>
    <s v="Manufacturing"/>
    <x v="4"/>
    <x v="2"/>
    <d v="2024-09-28T00:00:00"/>
    <n v="450"/>
    <n v="13"/>
    <x v="1"/>
    <x v="1"/>
    <n v="4"/>
  </r>
  <r>
    <s v="CUST-20067"/>
    <s v="Stonebridge Systems"/>
    <x v="2"/>
    <s v="Casey Brown"/>
    <s v="Technology"/>
    <x v="1"/>
    <x v="2"/>
    <d v="2026-04-16T00:00:00"/>
    <n v="580"/>
    <n v="35"/>
    <x v="1"/>
    <x v="2"/>
    <n v="4"/>
  </r>
  <r>
    <s v="CUST-20068"/>
    <s v="Riverside Industries"/>
    <x v="3"/>
    <s v="Morgan Davis"/>
    <s v="Logistics"/>
    <x v="4"/>
    <x v="0"/>
    <d v="2024-09-23T00:00:00"/>
    <n v="200"/>
    <n v="3"/>
    <x v="1"/>
    <x v="1"/>
    <n v="2"/>
  </r>
  <r>
    <s v="CUST-20069"/>
    <s v="BlueRiver Partners"/>
    <x v="1"/>
    <s v="Taylor Smith"/>
    <s v="Manufacturing"/>
    <x v="4"/>
    <x v="1"/>
    <d v="2026-04-19T00:00:00"/>
    <n v="165"/>
    <n v="9"/>
    <x v="1"/>
    <x v="1"/>
    <n v="4"/>
  </r>
  <r>
    <s v="CUST-20070"/>
    <s v="Prairie Solutions"/>
    <x v="1"/>
    <s v="Casey Brown"/>
    <s v="Logistics"/>
    <x v="3"/>
    <x v="0"/>
    <d v="2025-06-26T00:00:00"/>
    <n v="150"/>
    <n v="2"/>
    <x v="1"/>
    <x v="0"/>
    <n v="5"/>
  </r>
  <r>
    <s v="CUST-20071"/>
    <s v="Parkway Partners"/>
    <x v="0"/>
    <s v="Taylor Smith"/>
    <s v="Logistics"/>
    <x v="2"/>
    <x v="2"/>
    <d v="2026-03-26T00:00:00"/>
    <n v="310"/>
    <n v="3"/>
    <x v="0"/>
    <x v="1"/>
    <n v="2"/>
  </r>
  <r>
    <s v="CUST-20072"/>
    <s v="Lakeview Technologies"/>
    <x v="1"/>
    <s v="Jordan Lee"/>
    <s v="Technology"/>
    <x v="3"/>
    <x v="1"/>
    <d v="2024-12-31T00:00:00"/>
    <n v="230"/>
    <n v="17"/>
    <x v="1"/>
    <x v="2"/>
    <n v="5"/>
  </r>
  <r>
    <s v="CUST-20073"/>
    <s v="Prairie Enterprises"/>
    <x v="3"/>
    <s v="Alex Johnson"/>
    <s v="Manufacturing"/>
    <x v="3"/>
    <x v="1"/>
    <d v="2025-04-11T00:00:00"/>
    <n v="270"/>
    <n v="14"/>
    <x v="1"/>
    <x v="0"/>
    <n v="4"/>
  </r>
  <r>
    <s v="CUST-20074"/>
    <s v="Prairie Industries"/>
    <x v="0"/>
    <s v="Taylor Smith"/>
    <s v="Healthcare"/>
    <x v="1"/>
    <x v="2"/>
    <d v="2025-04-05T00:00:00"/>
    <n v="1090"/>
    <n v="65"/>
    <x v="1"/>
    <x v="0"/>
    <n v="3"/>
  </r>
  <r>
    <s v="CUST-20075"/>
    <s v="Pioneer Enterprises"/>
    <x v="2"/>
    <s v="Casey Brown"/>
    <s v="Healthcare"/>
    <x v="3"/>
    <x v="0"/>
    <d v="2026-01-06T00:00:00"/>
    <n v="170"/>
    <n v="5"/>
    <x v="1"/>
    <x v="1"/>
    <n v="5"/>
  </r>
  <r>
    <s v="CUST-20076"/>
    <s v="Cedar Systems"/>
    <x v="2"/>
    <s v="Morgan Davis"/>
    <s v="Logistics"/>
    <x v="3"/>
    <x v="1"/>
    <d v="2024-03-22T00:00:00"/>
    <n v="95"/>
    <n v="3"/>
    <x v="1"/>
    <x v="1"/>
    <n v="3"/>
  </r>
  <r>
    <s v="CUST-20077"/>
    <s v="Oakridge Solutions"/>
    <x v="3"/>
    <s v="Jordan Lee"/>
    <s v="Manufacturing"/>
    <x v="0"/>
    <x v="2"/>
    <d v="2024-01-20T00:00:00"/>
    <n v="745"/>
    <n v="80"/>
    <x v="1"/>
    <x v="1"/>
    <n v="4"/>
  </r>
  <r>
    <s v="CUST-20078"/>
    <s v="Granite Solutions"/>
    <x v="1"/>
    <s v="Alex Johnson"/>
    <s v="Retail"/>
    <x v="2"/>
    <x v="2"/>
    <d v="2026-05-06T00:00:00"/>
    <n v="350"/>
    <n v="4"/>
    <x v="1"/>
    <x v="2"/>
    <n v="2"/>
  </r>
  <r>
    <s v="CUST-20079"/>
    <s v="Granite Group"/>
    <x v="1"/>
    <s v="Casey Brown"/>
    <s v="Healthcare"/>
    <x v="2"/>
    <x v="0"/>
    <d v="2025-03-03T00:00:00"/>
    <n v="340"/>
    <n v="25"/>
    <x v="1"/>
    <x v="1"/>
    <n v="2"/>
  </r>
  <r>
    <s v="CUST-20080"/>
    <s v="Parkway Partners"/>
    <x v="2"/>
    <s v="Taylor Smith"/>
    <s v="Financial Services"/>
    <x v="4"/>
    <x v="2"/>
    <d v="2024-01-05T00:00:00"/>
    <n v="540"/>
    <n v="21"/>
    <x v="0"/>
    <x v="1"/>
    <n v="5"/>
  </r>
  <r>
    <s v="CUST-20081"/>
    <s v="Silverline Systems"/>
    <x v="3"/>
    <s v="Jordan Lee"/>
    <s v="Healthcare"/>
    <x v="4"/>
    <x v="1"/>
    <d v="2025-09-07T00:00:00"/>
    <n v="125"/>
    <n v="7"/>
    <x v="1"/>
    <x v="0"/>
    <n v="3"/>
  </r>
  <r>
    <s v="CUST-20082"/>
    <s v="Redwood Enterprises"/>
    <x v="1"/>
    <s v="Morgan Davis"/>
    <s v="Healthcare"/>
    <x v="2"/>
    <x v="1"/>
    <d v="2026-01-07T00:00:00"/>
    <n v="200"/>
    <n v="7"/>
    <x v="0"/>
    <x v="2"/>
    <n v="3"/>
  </r>
  <r>
    <s v="CUST-20083"/>
    <s v="Redwood Solutions"/>
    <x v="2"/>
    <s v="Jordan Lee"/>
    <s v="Technology"/>
    <x v="3"/>
    <x v="0"/>
    <d v="2025-06-30T00:00:00"/>
    <n v="195"/>
    <n v="6"/>
    <x v="1"/>
    <x v="0"/>
    <n v="3"/>
  </r>
  <r>
    <s v="CUST-20084"/>
    <s v="Summit Partners"/>
    <x v="0"/>
    <s v="Jordan Lee"/>
    <s v="Logistics"/>
    <x v="1"/>
    <x v="0"/>
    <d v="2026-02-04T00:00:00"/>
    <n v="1270"/>
    <n v="78"/>
    <x v="1"/>
    <x v="2"/>
    <n v="2"/>
  </r>
  <r>
    <s v="CUST-20085"/>
    <s v="Granite Solutions"/>
    <x v="0"/>
    <s v="Riley Wilson"/>
    <s v="Healthcare"/>
    <x v="0"/>
    <x v="2"/>
    <d v="2026-03-02T00:00:00"/>
    <n v="580"/>
    <n v="50"/>
    <x v="1"/>
    <x v="0"/>
    <n v="4"/>
  </r>
  <r>
    <s v="CUST-20086"/>
    <s v="Evergreen Solutions"/>
    <x v="1"/>
    <s v="Alex Johnson"/>
    <s v="Logistics"/>
    <x v="3"/>
    <x v="2"/>
    <d v="2025-12-22T00:00:00"/>
    <n v="300"/>
    <n v="22"/>
    <x v="1"/>
    <x v="1"/>
    <n v="3"/>
  </r>
  <r>
    <s v="CUST-20087"/>
    <s v="Pioneer Partners"/>
    <x v="3"/>
    <s v="Casey Brown"/>
    <s v="Financial Services"/>
    <x v="4"/>
    <x v="0"/>
    <d v="2025-03-14T00:00:00"/>
    <n v="410"/>
    <n v="16"/>
    <x v="1"/>
    <x v="0"/>
    <n v="2"/>
  </r>
  <r>
    <s v="CUST-20088"/>
    <s v="Redwood Solutions"/>
    <x v="2"/>
    <s v="Casey Brown"/>
    <s v="Manufacturing"/>
    <x v="1"/>
    <x v="2"/>
    <d v="2024-04-20T00:00:00"/>
    <n v="1105"/>
    <n v="44"/>
    <x v="1"/>
    <x v="0"/>
    <n v="5"/>
  </r>
  <r>
    <s v="CUST-20089"/>
    <s v="Stonebridge Group"/>
    <x v="1"/>
    <s v="Taylor Smith"/>
    <s v="Healthcare"/>
    <x v="0"/>
    <x v="2"/>
    <d v="2024-04-23T00:00:00"/>
    <n v="495"/>
    <n v="56"/>
    <x v="1"/>
    <x v="2"/>
    <n v="4"/>
  </r>
  <r>
    <s v="CUST-20090"/>
    <s v="Highland Manufacturing"/>
    <x v="1"/>
    <s v="Riley Wilson"/>
    <s v="Healthcare"/>
    <x v="4"/>
    <x v="2"/>
    <d v="2024-04-26T00:00:00"/>
    <n v="630"/>
    <n v="24"/>
    <x v="1"/>
    <x v="2"/>
    <n v="3"/>
  </r>
  <r>
    <s v="CUST-20091"/>
    <s v="Highland Systems"/>
    <x v="3"/>
    <s v="Riley Wilson"/>
    <s v="Technology"/>
    <x v="3"/>
    <x v="1"/>
    <d v="2026-04-16T00:00:00"/>
    <n v="155"/>
    <n v="21"/>
    <x v="0"/>
    <x v="1"/>
    <n v="3"/>
  </r>
  <r>
    <s v="CUST-20092"/>
    <s v="Redwood Solutions"/>
    <x v="1"/>
    <s v="Taylor Smith"/>
    <s v="Retail"/>
    <x v="4"/>
    <x v="2"/>
    <d v="2025-01-29T00:00:00"/>
    <n v="400"/>
    <n v="24"/>
    <x v="0"/>
    <x v="0"/>
    <n v="4"/>
  </r>
  <r>
    <s v="CUST-20093"/>
    <s v="Evergreen Solutions"/>
    <x v="3"/>
    <s v="Alex Johnson"/>
    <s v="Logistics"/>
    <x v="0"/>
    <x v="0"/>
    <d v="2024-10-05T00:00:00"/>
    <n v="1005"/>
    <n v="53"/>
    <x v="1"/>
    <x v="1"/>
    <n v="2"/>
  </r>
  <r>
    <s v="CUST-20094"/>
    <s v="Stonebridge Manufacturing"/>
    <x v="3"/>
    <s v="Jordan Lee"/>
    <s v="Manufacturing"/>
    <x v="2"/>
    <x v="2"/>
    <d v="2024-03-11T00:00:00"/>
    <n v="325"/>
    <n v="4"/>
    <x v="1"/>
    <x v="1"/>
    <n v="4"/>
  </r>
  <r>
    <s v="CUST-20095"/>
    <s v="Horizon Technologies"/>
    <x v="0"/>
    <s v="Casey Brown"/>
    <s v="Healthcare"/>
    <x v="4"/>
    <x v="0"/>
    <d v="2025-08-21T00:00:00"/>
    <n v="355"/>
    <n v="16"/>
    <x v="1"/>
    <x v="1"/>
    <n v="2"/>
  </r>
  <r>
    <s v="CUST-20096"/>
    <s v="Metro Group"/>
    <x v="0"/>
    <s v="Alex Johnson"/>
    <s v="Manufacturing"/>
    <x v="2"/>
    <x v="0"/>
    <d v="2025-08-29T00:00:00"/>
    <n v="245"/>
    <n v="6"/>
    <x v="0"/>
    <x v="1"/>
    <n v="4"/>
  </r>
  <r>
    <s v="CUST-20097"/>
    <s v="Cedar Solutions"/>
    <x v="3"/>
    <s v="Alex Johnson"/>
    <s v="Logistics"/>
    <x v="2"/>
    <x v="2"/>
    <d v="2025-04-10T00:00:00"/>
    <n v="565"/>
    <n v="18"/>
    <x v="0"/>
    <x v="0"/>
    <n v="2"/>
  </r>
  <r>
    <s v="CUST-20098"/>
    <s v="Riverside Partners"/>
    <x v="1"/>
    <s v="Morgan Davis"/>
    <s v="Financial Services"/>
    <x v="0"/>
    <x v="2"/>
    <d v="2025-06-19T00:00:00"/>
    <n v="520"/>
    <n v="21"/>
    <x v="0"/>
    <x v="1"/>
    <n v="5"/>
  </r>
  <r>
    <s v="CUST-20099"/>
    <s v="Riverside Industries"/>
    <x v="3"/>
    <s v="Riley Wilson"/>
    <s v="Retail"/>
    <x v="2"/>
    <x v="1"/>
    <d v="2024-09-16T00:00:00"/>
    <n v="265"/>
    <n v="12"/>
    <x v="1"/>
    <x v="1"/>
    <n v="5"/>
  </r>
  <r>
    <s v="CUST-20100"/>
    <s v="Highland Services"/>
    <x v="0"/>
    <s v="Morgan Davis"/>
    <s v="Logistics"/>
    <x v="4"/>
    <x v="2"/>
    <d v="2026-03-12T00:00:00"/>
    <n v="445"/>
    <n v="15"/>
    <x v="0"/>
    <x v="1"/>
    <n v="4"/>
  </r>
  <r>
    <s v="CUST-20101"/>
    <s v="Riverside Enterprises"/>
    <x v="0"/>
    <s v="Casey Brown"/>
    <s v="Logistics"/>
    <x v="3"/>
    <x v="0"/>
    <d v="2025-01-02T00:00:00"/>
    <n v="390"/>
    <n v="18"/>
    <x v="0"/>
    <x v="0"/>
    <n v="5"/>
  </r>
  <r>
    <s v="CUST-20102"/>
    <s v="Silverline Systems"/>
    <x v="2"/>
    <s v="Morgan Davis"/>
    <s v="Retail"/>
    <x v="4"/>
    <x v="2"/>
    <d v="2024-10-11T00:00:00"/>
    <n v="305"/>
    <n v="11"/>
    <x v="1"/>
    <x v="1"/>
    <n v="5"/>
  </r>
  <r>
    <s v="CUST-20103"/>
    <s v="Highland Industries"/>
    <x v="3"/>
    <s v="Riley Wilson"/>
    <s v="Logistics"/>
    <x v="0"/>
    <x v="0"/>
    <d v="2024-01-03T00:00:00"/>
    <n v="220"/>
    <n v="6"/>
    <x v="0"/>
    <x v="1"/>
    <n v="4"/>
  </r>
  <r>
    <s v="CUST-20104"/>
    <s v="Riverside Partners"/>
    <x v="1"/>
    <s v="Casey Brown"/>
    <s v="Manufacturing"/>
    <x v="4"/>
    <x v="1"/>
    <d v="2026-06-14T00:00:00"/>
    <n v="200"/>
    <n v="20"/>
    <x v="1"/>
    <x v="1"/>
    <n v="3"/>
  </r>
  <r>
    <s v="CUST-20105"/>
    <s v="Clearwater Enterprises"/>
    <x v="2"/>
    <s v="Taylor Smith"/>
    <s v="Logistics"/>
    <x v="0"/>
    <x v="2"/>
    <d v="2024-09-23T00:00:00"/>
    <n v="1200"/>
    <n v="73"/>
    <x v="0"/>
    <x v="1"/>
    <n v="5"/>
  </r>
  <r>
    <s v="CUST-20106"/>
    <s v="Metro Systems"/>
    <x v="1"/>
    <s v="Taylor Smith"/>
    <s v="Manufacturing"/>
    <x v="1"/>
    <x v="2"/>
    <d v="2026-03-22T00:00:00"/>
    <n v="465"/>
    <n v="11"/>
    <x v="1"/>
    <x v="2"/>
    <n v="4"/>
  </r>
  <r>
    <s v="CUST-20107"/>
    <s v="Horizon Logistics"/>
    <x v="2"/>
    <s v="Taylor Smith"/>
    <s v="Logistics"/>
    <x v="2"/>
    <x v="0"/>
    <d v="2025-10-05T00:00:00"/>
    <n v="195"/>
    <n v="2"/>
    <x v="1"/>
    <x v="1"/>
    <n v="4"/>
  </r>
  <r>
    <s v="CUST-20108"/>
    <s v="Granite Services"/>
    <x v="0"/>
    <s v="Morgan Davis"/>
    <s v="Manufacturing"/>
    <x v="1"/>
    <x v="1"/>
    <d v="2025-03-01T00:00:00"/>
    <n v="270"/>
    <n v="8"/>
    <x v="1"/>
    <x v="1"/>
    <n v="5"/>
  </r>
  <r>
    <s v="CUST-20109"/>
    <s v="Brighton Enterprises"/>
    <x v="0"/>
    <s v="Casey Brown"/>
    <s v="Financial Services"/>
    <x v="3"/>
    <x v="0"/>
    <d v="2026-02-25T00:00:00"/>
    <n v="240"/>
    <n v="16"/>
    <x v="0"/>
    <x v="2"/>
    <n v="2"/>
  </r>
  <r>
    <s v="CUST-20110"/>
    <s v="Prairie Logistics"/>
    <x v="1"/>
    <s v="Alex Johnson"/>
    <s v="Manufacturing"/>
    <x v="4"/>
    <x v="2"/>
    <d v="2026-01-18T00:00:00"/>
    <n v="300"/>
    <n v="7"/>
    <x v="1"/>
    <x v="0"/>
    <n v="5"/>
  </r>
  <r>
    <s v="CUST-20111"/>
    <s v="Stonebridge Solutions"/>
    <x v="1"/>
    <s v="Morgan Davis"/>
    <s v="Logistics"/>
    <x v="1"/>
    <x v="0"/>
    <d v="2026-05-26T00:00:00"/>
    <n v="370"/>
    <n v="17"/>
    <x v="1"/>
    <x v="2"/>
    <n v="3"/>
  </r>
  <r>
    <s v="CUST-20112"/>
    <s v="Highland Partners"/>
    <x v="3"/>
    <s v="Riley Wilson"/>
    <s v="Retail"/>
    <x v="3"/>
    <x v="2"/>
    <d v="2024-09-07T00:00:00"/>
    <n v="320"/>
    <n v="9"/>
    <x v="1"/>
    <x v="1"/>
    <n v="5"/>
  </r>
  <r>
    <s v="CUST-20113"/>
    <s v="Riverside Group"/>
    <x v="2"/>
    <s v="Riley Wilson"/>
    <s v="Financial Services"/>
    <x v="1"/>
    <x v="2"/>
    <d v="2025-02-26T00:00:00"/>
    <n v="730"/>
    <n v="50"/>
    <x v="0"/>
    <x v="1"/>
    <n v="3"/>
  </r>
  <r>
    <s v="CUST-20114"/>
    <s v="Prairie Industries"/>
    <x v="1"/>
    <s v="Alex Johnson"/>
    <s v="Logistics"/>
    <x v="1"/>
    <x v="2"/>
    <d v="2026-04-22T00:00:00"/>
    <n v="450"/>
    <n v="12"/>
    <x v="1"/>
    <x v="1"/>
    <n v="2"/>
  </r>
  <r>
    <s v="CUST-20115"/>
    <s v="Riverside Systems"/>
    <x v="3"/>
    <s v="Morgan Davis"/>
    <s v="Logistics"/>
    <x v="2"/>
    <x v="2"/>
    <d v="2025-03-23T00:00:00"/>
    <n v="575"/>
    <n v="18"/>
    <x v="1"/>
    <x v="1"/>
    <n v="4"/>
  </r>
  <r>
    <s v="CUST-20116"/>
    <s v="Redwood Systems"/>
    <x v="2"/>
    <s v="Alex Johnson"/>
    <s v="Manufacturing"/>
    <x v="1"/>
    <x v="1"/>
    <d v="2024-09-25T00:00:00"/>
    <n v="325"/>
    <n v="21"/>
    <x v="1"/>
    <x v="1"/>
    <n v="4"/>
  </r>
  <r>
    <s v="CUST-20117"/>
    <s v="Granite Logistics"/>
    <x v="0"/>
    <s v="Jordan Lee"/>
    <s v="Retail"/>
    <x v="2"/>
    <x v="2"/>
    <d v="2024-05-08T00:00:00"/>
    <n v="290"/>
    <n v="2"/>
    <x v="1"/>
    <x v="1"/>
    <n v="2"/>
  </r>
  <r>
    <s v="CUST-20118"/>
    <s v="Clearwater Services"/>
    <x v="2"/>
    <s v="Casey Brown"/>
    <s v="Financial Services"/>
    <x v="0"/>
    <x v="2"/>
    <d v="2024-05-27T00:00:00"/>
    <n v="580"/>
    <n v="30"/>
    <x v="1"/>
    <x v="1"/>
    <n v="4"/>
  </r>
  <r>
    <s v="CUST-20119"/>
    <s v="Brighton Services"/>
    <x v="1"/>
    <s v="Alex Johnson"/>
    <s v="Financial Services"/>
    <x v="3"/>
    <x v="0"/>
    <d v="2025-07-29T00:00:00"/>
    <n v="320"/>
    <n v="15"/>
    <x v="1"/>
    <x v="0"/>
    <n v="4"/>
  </r>
  <r>
    <s v="CUST-20120"/>
    <s v="Summit Services"/>
    <x v="3"/>
    <s v="Riley Wilson"/>
    <s v="Manufacturing"/>
    <x v="3"/>
    <x v="1"/>
    <d v="2025-06-20T00:00:00"/>
    <n v="240"/>
    <n v="12"/>
    <x v="1"/>
    <x v="1"/>
    <n v="4"/>
  </r>
  <r>
    <s v="CUST-20121"/>
    <s v="Stonebridge Solutions"/>
    <x v="1"/>
    <s v="Alex Johnson"/>
    <s v="Technology"/>
    <x v="3"/>
    <x v="2"/>
    <d v="2024-09-22T00:00:00"/>
    <n v="465"/>
    <n v="19"/>
    <x v="1"/>
    <x v="1"/>
    <n v="4"/>
  </r>
  <r>
    <s v="CUST-20122"/>
    <s v="Pioneer Logistics"/>
    <x v="1"/>
    <s v="Morgan Davis"/>
    <s v="Manufacturing"/>
    <x v="4"/>
    <x v="2"/>
    <d v="2025-02-17T00:00:00"/>
    <n v="325"/>
    <n v="10"/>
    <x v="0"/>
    <x v="1"/>
    <n v="5"/>
  </r>
  <r>
    <s v="CUST-20123"/>
    <s v="Redwood Solutions"/>
    <x v="1"/>
    <s v="Casey Brown"/>
    <s v="Manufacturing"/>
    <x v="2"/>
    <x v="0"/>
    <d v="2024-09-20T00:00:00"/>
    <n v="220"/>
    <n v="7"/>
    <x v="1"/>
    <x v="1"/>
    <n v="5"/>
  </r>
  <r>
    <s v="CUST-20124"/>
    <s v="Pioneer Partners"/>
    <x v="2"/>
    <s v="Morgan Davis"/>
    <s v="Retail"/>
    <x v="4"/>
    <x v="1"/>
    <d v="2024-03-08T00:00:00"/>
    <n v="160"/>
    <n v="4"/>
    <x v="1"/>
    <x v="1"/>
    <n v="5"/>
  </r>
  <r>
    <s v="CUST-20125"/>
    <s v="BlueRiver Technologies"/>
    <x v="0"/>
    <s v="Morgan Davis"/>
    <s v="Manufacturing"/>
    <x v="4"/>
    <x v="0"/>
    <d v="2026-02-23T00:00:00"/>
    <n v="280"/>
    <n v="14"/>
    <x v="1"/>
    <x v="1"/>
    <n v="4"/>
  </r>
  <r>
    <s v="CUST-20126"/>
    <s v="Parkway Services"/>
    <x v="0"/>
    <s v="Casey Brown"/>
    <s v="Technology"/>
    <x v="2"/>
    <x v="1"/>
    <d v="2024-04-19T00:00:00"/>
    <n v="245"/>
    <n v="24"/>
    <x v="1"/>
    <x v="0"/>
    <n v="4"/>
  </r>
  <r>
    <s v="CUST-20127"/>
    <s v="Lakeview Enterprises"/>
    <x v="1"/>
    <s v="Casey Brown"/>
    <s v="Retail"/>
    <x v="4"/>
    <x v="1"/>
    <d v="2024-02-22T00:00:00"/>
    <n v="160"/>
    <n v="14"/>
    <x v="1"/>
    <x v="1"/>
    <n v="4"/>
  </r>
  <r>
    <s v="CUST-20128"/>
    <s v="Redwood Logistics"/>
    <x v="0"/>
    <s v="Morgan Davis"/>
    <s v="Technology"/>
    <x v="2"/>
    <x v="1"/>
    <d v="2024-11-29T00:00:00"/>
    <n v="140"/>
    <n v="6"/>
    <x v="1"/>
    <x v="1"/>
    <n v="3"/>
  </r>
  <r>
    <s v="CUST-20129"/>
    <s v="Cedar Manufacturing"/>
    <x v="2"/>
    <s v="Alex Johnson"/>
    <s v="Financial Services"/>
    <x v="3"/>
    <x v="1"/>
    <d v="2025-01-06T00:00:00"/>
    <n v="260"/>
    <n v="13"/>
    <x v="1"/>
    <x v="0"/>
    <n v="4"/>
  </r>
  <r>
    <s v="CUST-20130"/>
    <s v="Highland Technologies"/>
    <x v="3"/>
    <s v="Jordan Lee"/>
    <s v="Logistics"/>
    <x v="2"/>
    <x v="0"/>
    <d v="2025-09-06T00:00:00"/>
    <n v="-145"/>
    <n v="12"/>
    <x v="1"/>
    <x v="1"/>
    <n v="4"/>
  </r>
  <r>
    <s v="CUST-20131"/>
    <s v="Stonebridge Systems"/>
    <x v="3"/>
    <s v="Taylor Smith"/>
    <s v="Financial Services"/>
    <x v="2"/>
    <x v="2"/>
    <d v="2026-04-11T00:00:00"/>
    <n v="450"/>
    <n v="12"/>
    <x v="1"/>
    <x v="2"/>
    <n v="5"/>
  </r>
  <r>
    <s v="CUST-20132"/>
    <s v="Horizon Enterprises"/>
    <x v="3"/>
    <s v="Taylor Smith"/>
    <s v="Healthcare"/>
    <x v="3"/>
    <x v="2"/>
    <d v="2025-05-31T00:00:00"/>
    <n v="275"/>
    <n v="10"/>
    <x v="1"/>
    <x v="0"/>
    <n v="3"/>
  </r>
  <r>
    <s v="CUST-20133"/>
    <s v="BlueRiver Manufacturing"/>
    <x v="0"/>
    <s v="Morgan Davis"/>
    <s v="Healthcare"/>
    <x v="2"/>
    <x v="2"/>
    <d v="2024-11-23T00:00:00"/>
    <n v="530"/>
    <n v="15"/>
    <x v="1"/>
    <x v="1"/>
    <n v="4"/>
  </r>
  <r>
    <s v="CUST-20134"/>
    <s v="Northstar Industries"/>
    <x v="3"/>
    <s v="Jordan Lee"/>
    <s v="Healthcare"/>
    <x v="1"/>
    <x v="1"/>
    <d v="2025-01-21T00:00:00"/>
    <n v="480"/>
    <n v="30"/>
    <x v="1"/>
    <x v="1"/>
    <n v="3"/>
  </r>
  <r>
    <s v="CUST-20135"/>
    <s v="BlueRiver Enterprises"/>
    <x v="0"/>
    <s v="Jordan Lee"/>
    <s v="Healthcare"/>
    <x v="3"/>
    <x v="2"/>
    <d v="2025-09-08T00:00:00"/>
    <n v="290"/>
    <n v="19"/>
    <x v="1"/>
    <x v="1"/>
    <n v="4"/>
  </r>
  <r>
    <s v="CUST-20136"/>
    <s v="Highland Systems"/>
    <x v="3"/>
    <s v="Taylor Smith"/>
    <s v="Technology"/>
    <x v="2"/>
    <x v="1"/>
    <d v="2024-09-12T00:00:00"/>
    <n v="235"/>
    <n v="19"/>
    <x v="1"/>
    <x v="0"/>
    <n v="4"/>
  </r>
  <r>
    <s v="CUST-20137"/>
    <s v="Summit Enterprises"/>
    <x v="0"/>
    <s v="Alex Johnson"/>
    <s v="Logistics"/>
    <x v="3"/>
    <x v="0"/>
    <d v="2025-10-31T00:00:00"/>
    <n v="275"/>
    <n v="25"/>
    <x v="1"/>
    <x v="1"/>
    <n v="4"/>
  </r>
  <r>
    <s v="CUST-20138"/>
    <s v="Parkway Industries"/>
    <x v="1"/>
    <s v="Alex Johnson"/>
    <s v="Financial Services"/>
    <x v="3"/>
    <x v="2"/>
    <d v="2026-02-17T00:00:00"/>
    <n v="270"/>
    <n v="19"/>
    <x v="1"/>
    <x v="0"/>
    <n v="3"/>
  </r>
  <r>
    <s v="CUST-20139"/>
    <s v="Stonebridge Partners"/>
    <x v="3"/>
    <s v="Casey Brown"/>
    <s v="Manufacturing"/>
    <x v="4"/>
    <x v="1"/>
    <d v="2024-05-07T00:00:00"/>
    <n v="230"/>
    <n v="12"/>
    <x v="1"/>
    <x v="1"/>
    <n v="2"/>
  </r>
  <r>
    <s v="CUST-20140"/>
    <s v="Northstar Enterprises"/>
    <x v="1"/>
    <s v="Jordan Lee"/>
    <s v="Technology"/>
    <x v="4"/>
    <x v="2"/>
    <d v="2024-06-27T00:00:00"/>
    <n v="440"/>
    <n v="11"/>
    <x v="1"/>
    <x v="2"/>
    <n v="3"/>
  </r>
  <r>
    <s v="CUST-20141"/>
    <s v="BlueRiver Enterprises"/>
    <x v="2"/>
    <s v="Taylor Smith"/>
    <s v="Healthcare"/>
    <x v="1"/>
    <x v="2"/>
    <d v="2025-04-06T00:00:00"/>
    <n v="1275"/>
    <n v="67"/>
    <x v="1"/>
    <x v="0"/>
    <n v="4"/>
  </r>
  <r>
    <s v="CUST-20142"/>
    <s v="Summit Industries"/>
    <x v="2"/>
    <s v="Casey Brown"/>
    <s v="Manufacturing"/>
    <x v="2"/>
    <x v="2"/>
    <d v="2025-03-01T00:00:00"/>
    <n v="500"/>
    <n v="20"/>
    <x v="1"/>
    <x v="1"/>
    <n v="5"/>
  </r>
  <r>
    <s v="CUST-20143"/>
    <s v="Horizon Group"/>
    <x v="0"/>
    <s v="Jordan Lee"/>
    <s v="Logistics"/>
    <x v="2"/>
    <x v="1"/>
    <d v="2025-02-19T00:00:00"/>
    <n v="370"/>
    <n v="25"/>
    <x v="1"/>
    <x v="1"/>
    <n v="4"/>
  </r>
  <r>
    <s v="CUST-20144"/>
    <s v="Highland Enterprises"/>
    <x v="1"/>
    <s v="Jordan Lee"/>
    <s v="Technology"/>
    <x v="2"/>
    <x v="2"/>
    <d v="2025-09-01T00:00:00"/>
    <n v="470"/>
    <n v="11"/>
    <x v="0"/>
    <x v="1"/>
    <n v="4"/>
  </r>
  <r>
    <s v="CUST-20145"/>
    <s v="Evergreen Systems"/>
    <x v="1"/>
    <s v="Alex Johnson"/>
    <s v="Technology"/>
    <x v="1"/>
    <x v="1"/>
    <d v="2025-09-22T00:00:00"/>
    <n v="645"/>
    <n v="79"/>
    <x v="0"/>
    <x v="2"/>
    <n v="3"/>
  </r>
  <r>
    <s v="CUST-20146"/>
    <s v="Granite Systems"/>
    <x v="1"/>
    <s v="Taylor Smith"/>
    <s v="Logistics"/>
    <x v="2"/>
    <x v="0"/>
    <d v="2024-08-13T00:00:00"/>
    <n v="280"/>
    <n v="9"/>
    <x v="1"/>
    <x v="1"/>
    <n v="3"/>
  </r>
  <r>
    <s v="CUST-20147"/>
    <s v="Prairie Logistics"/>
    <x v="0"/>
    <s v="Riley Wilson"/>
    <s v="Financial Services"/>
    <x v="2"/>
    <x v="2"/>
    <d v="2024-07-04T00:00:00"/>
    <n v="360"/>
    <n v="11"/>
    <x v="1"/>
    <x v="1"/>
    <n v="4"/>
  </r>
  <r>
    <s v="CUST-20148"/>
    <s v="BlueRiver Services"/>
    <x v="2"/>
    <s v="Riley Wilson"/>
    <s v="Healthcare"/>
    <x v="0"/>
    <x v="0"/>
    <d v="2024-04-20T00:00:00"/>
    <n v="795"/>
    <n v="44"/>
    <x v="1"/>
    <x v="1"/>
    <n v="3"/>
  </r>
  <r>
    <s v="CUST-20149"/>
    <s v="Lakeview Industries"/>
    <x v="1"/>
    <s v="Riley Wilson"/>
    <s v="Logistics"/>
    <x v="4"/>
    <x v="2"/>
    <d v="2024-02-08T00:00:00"/>
    <n v="365"/>
    <n v="11"/>
    <x v="1"/>
    <x v="1"/>
    <n v="2"/>
  </r>
  <r>
    <s v="CUST-20150"/>
    <s v="Lakeview Technologies"/>
    <x v="2"/>
    <s v="Alex Johnson"/>
    <s v="Financial Services"/>
    <x v="3"/>
    <x v="1"/>
    <d v="2024-02-05T00:00:00"/>
    <n v="320"/>
    <n v="19"/>
    <x v="1"/>
    <x v="2"/>
    <n v="3"/>
  </r>
  <r>
    <s v="CUST-20151"/>
    <s v="Granite Group"/>
    <x v="1"/>
    <s v="Alex Johnson"/>
    <s v="Manufacturing"/>
    <x v="4"/>
    <x v="2"/>
    <d v="2026-05-30T00:00:00"/>
    <n v="475"/>
    <n v="21"/>
    <x v="1"/>
    <x v="0"/>
    <n v="3"/>
  </r>
  <r>
    <s v="CUST-20152"/>
    <s v="Northstar Logistics"/>
    <x v="1"/>
    <s v="Casey Brown"/>
    <s v="Retail"/>
    <x v="4"/>
    <x v="1"/>
    <d v="2025-09-05T00:00:00"/>
    <n v="235"/>
    <n v="14"/>
    <x v="1"/>
    <x v="0"/>
    <n v="5"/>
  </r>
  <r>
    <s v="CUST-20153"/>
    <s v="Riverside Manufacturing"/>
    <x v="2"/>
    <s v="Morgan Davis"/>
    <s v="Healthcare"/>
    <x v="0"/>
    <x v="1"/>
    <d v="2024-07-07T00:00:00"/>
    <n v="580"/>
    <n v="50"/>
    <x v="1"/>
    <x v="1"/>
    <n v="3"/>
  </r>
  <r>
    <s v="CUST-20154"/>
    <s v="Pioneer Enterprises"/>
    <x v="2"/>
    <s v="Jordan Lee"/>
    <s v="Manufacturing"/>
    <x v="3"/>
    <x v="1"/>
    <d v="2025-05-01T00:00:00"/>
    <n v="200"/>
    <n v="8"/>
    <x v="1"/>
    <x v="2"/>
    <n v="2"/>
  </r>
  <r>
    <s v="CUST-20155"/>
    <s v="Cedar Group"/>
    <x v="3"/>
    <s v="Alex Johnson"/>
    <s v="Technology"/>
    <x v="2"/>
    <x v="2"/>
    <d v="2024-01-19T00:00:00"/>
    <n v="300"/>
    <n v="1"/>
    <x v="1"/>
    <x v="1"/>
    <n v="4"/>
  </r>
  <r>
    <s v="CUST-20156"/>
    <s v="Highland Services"/>
    <x v="1"/>
    <s v="Casey Brown"/>
    <s v="Manufacturing"/>
    <x v="1"/>
    <x v="0"/>
    <d v="2026-03-26T00:00:00"/>
    <n v="380"/>
    <n v="9"/>
    <x v="1"/>
    <x v="1"/>
    <n v="3"/>
  </r>
  <r>
    <s v="CUST-20157"/>
    <s v="Redwood Solutions"/>
    <x v="2"/>
    <s v="Casey Brown"/>
    <s v="Technology"/>
    <x v="3"/>
    <x v="2"/>
    <d v="2024-09-23T00:00:00"/>
    <n v="450"/>
    <n v="15"/>
    <x v="1"/>
    <x v="2"/>
    <n v="4"/>
  </r>
  <r>
    <s v="CUST-20158"/>
    <s v="Silverline Services"/>
    <x v="1"/>
    <s v="Alex Johnson"/>
    <s v="Financial Services"/>
    <x v="2"/>
    <x v="2"/>
    <d v="2024-07-10T00:00:00"/>
    <n v="310"/>
    <n v="3"/>
    <x v="1"/>
    <x v="2"/>
    <n v="4"/>
  </r>
  <r>
    <s v="CUST-20159"/>
    <s v="Cedar Partners"/>
    <x v="1"/>
    <s v="Riley Wilson"/>
    <s v="Healthcare"/>
    <x v="4"/>
    <x v="0"/>
    <d v="2026-05-09T00:00:00"/>
    <n v="435"/>
    <n v="20"/>
    <x v="0"/>
    <x v="1"/>
    <n v="3"/>
  </r>
  <r>
    <s v="CUST-20160"/>
    <s v="Lakeview Group"/>
    <x v="1"/>
    <s v="Alex Johnson"/>
    <s v="Financial Services"/>
    <x v="0"/>
    <x v="2"/>
    <d v="2024-07-31T00:00:00"/>
    <n v="545"/>
    <n v="61"/>
    <x v="1"/>
    <x v="1"/>
    <n v="3"/>
  </r>
  <r>
    <s v="CUST-20161"/>
    <s v="Parkway Enterprises"/>
    <x v="0"/>
    <s v="Morgan Davis"/>
    <s v="Technology"/>
    <x v="0"/>
    <x v="0"/>
    <d v="2025-05-05T00:00:00"/>
    <n v="815"/>
    <n v="74"/>
    <x v="1"/>
    <x v="1"/>
    <n v="4"/>
  </r>
  <r>
    <s v="CUST-20162"/>
    <s v="BlueRiver Solutions"/>
    <x v="1"/>
    <s v="Alex Johnson"/>
    <s v="Technology"/>
    <x v="1"/>
    <x v="0"/>
    <d v="2024-08-04T00:00:00"/>
    <n v="340"/>
    <n v="18"/>
    <x v="1"/>
    <x v="2"/>
    <n v="2"/>
  </r>
  <r>
    <s v="CUST-20163"/>
    <s v="Northstar Industries"/>
    <x v="2"/>
    <s v="Morgan Davis"/>
    <s v="Logistics"/>
    <x v="1"/>
    <x v="2"/>
    <d v="2024-06-15T00:00:00"/>
    <n v="605"/>
    <n v="23"/>
    <x v="1"/>
    <x v="1"/>
    <n v="4"/>
  </r>
  <r>
    <s v="CUST-20164"/>
    <s v="Riverside Partners"/>
    <x v="0"/>
    <s v="Jordan Lee"/>
    <s v="Logistics"/>
    <x v="4"/>
    <x v="1"/>
    <d v="2025-07-01T00:00:00"/>
    <n v="160"/>
    <n v="4"/>
    <x v="0"/>
    <x v="0"/>
    <n v="5"/>
  </r>
  <r>
    <s v="CUST-20165"/>
    <s v="Horizon Systems"/>
    <x v="1"/>
    <s v="Riley Wilson"/>
    <s v="Healthcare"/>
    <x v="2"/>
    <x v="1"/>
    <d v="2025-04-26T00:00:00"/>
    <n v="350"/>
    <n v="21"/>
    <x v="1"/>
    <x v="0"/>
    <n v="4"/>
  </r>
  <r>
    <s v="CUST-20166"/>
    <s v="Highland Solutions"/>
    <x v="3"/>
    <s v="Taylor Smith"/>
    <s v="Manufacturing"/>
    <x v="4"/>
    <x v="0"/>
    <d v="2024-12-16T00:00:00"/>
    <n v="175"/>
    <n v="1"/>
    <x v="1"/>
    <x v="1"/>
    <n v="4"/>
  </r>
  <r>
    <s v="CUST-20167"/>
    <s v="Riverside Logistics"/>
    <x v="3"/>
    <s v="Taylor Smith"/>
    <s v="Technology"/>
    <x v="3"/>
    <x v="1"/>
    <d v="2025-03-30T00:00:00"/>
    <n v="185"/>
    <n v="0"/>
    <x v="1"/>
    <x v="1"/>
    <n v="4"/>
  </r>
  <r>
    <s v="CUST-20168"/>
    <s v="Redwood Logistics"/>
    <x v="1"/>
    <s v="Alex Johnson"/>
    <s v="Financial Services"/>
    <x v="3"/>
    <x v="2"/>
    <d v="2025-08-07T00:00:00"/>
    <n v="355"/>
    <n v="19"/>
    <x v="1"/>
    <x v="1"/>
    <n v="4"/>
  </r>
  <r>
    <s v="CUST-20169"/>
    <s v="Riverside Partners"/>
    <x v="2"/>
    <s v="Taylor Smith"/>
    <s v="Retail"/>
    <x v="0"/>
    <x v="1"/>
    <d v="2025-08-17T00:00:00"/>
    <n v="425"/>
    <n v="39"/>
    <x v="1"/>
    <x v="2"/>
    <n v="4"/>
  </r>
  <r>
    <s v="CUST-20170"/>
    <s v="Pioneer Logistics"/>
    <x v="3"/>
    <s v="Casey Brown"/>
    <s v="Retail"/>
    <x v="3"/>
    <x v="2"/>
    <d v="2024-03-31T00:00:00"/>
    <n v="360"/>
    <n v="13"/>
    <x v="1"/>
    <x v="1"/>
    <n v="4"/>
  </r>
  <r>
    <s v="CUST-20171"/>
    <s v="Evergreen Systems"/>
    <x v="0"/>
    <s v="Alex Johnson"/>
    <s v="Technology"/>
    <x v="4"/>
    <x v="1"/>
    <d v="2024-02-17T00:00:00"/>
    <n v="220"/>
    <n v="15"/>
    <x v="0"/>
    <x v="1"/>
    <n v="3"/>
  </r>
  <r>
    <s v="CUST-20172"/>
    <s v="BlueRiver Partners"/>
    <x v="1"/>
    <s v="Alex Johnson"/>
    <s v="Logistics"/>
    <x v="2"/>
    <x v="1"/>
    <d v="2025-02-19T00:00:00"/>
    <n v="125"/>
    <n v="2"/>
    <x v="1"/>
    <x v="1"/>
    <n v="2"/>
  </r>
  <r>
    <s v="CUST-20173"/>
    <s v="Stonebridge Enterprises"/>
    <x v="3"/>
    <s v="Casey Brown"/>
    <s v="Financial Services"/>
    <x v="3"/>
    <x v="2"/>
    <d v="2024-05-03T00:00:00"/>
    <n v="440"/>
    <n v="16"/>
    <x v="1"/>
    <x v="0"/>
    <n v="4"/>
  </r>
  <r>
    <s v="CUST-20174"/>
    <s v="Stonebridge Manufacturing"/>
    <x v="1"/>
    <s v="Casey Brown"/>
    <s v="Healthcare"/>
    <x v="3"/>
    <x v="0"/>
    <d v="2026-06-14T00:00:00"/>
    <n v="330"/>
    <n v="13"/>
    <x v="0"/>
    <x v="1"/>
    <n v="5"/>
  </r>
  <r>
    <s v="CUST-20175"/>
    <s v="Riverside Industries"/>
    <x v="3"/>
    <s v="Riley Wilson"/>
    <s v="Retail"/>
    <x v="4"/>
    <x v="1"/>
    <d v="2025-07-30T00:00:00"/>
    <n v="140"/>
    <n v="7"/>
    <x v="1"/>
    <x v="0"/>
    <n v="4"/>
  </r>
  <r>
    <s v="CUST-20176"/>
    <s v="Summit Partners"/>
    <x v="1"/>
    <s v="Alex Johnson"/>
    <s v="Financial Services"/>
    <x v="3"/>
    <x v="1"/>
    <d v="2024-09-20T00:00:00"/>
    <n v="320"/>
    <n v="25"/>
    <x v="1"/>
    <x v="1"/>
    <n v="4"/>
  </r>
  <r>
    <s v="CUST-20177"/>
    <s v="Lakeview Services"/>
    <x v="3"/>
    <s v="Alex Johnson"/>
    <s v="Retail"/>
    <x v="2"/>
    <x v="1"/>
    <d v="2026-01-08T00:00:00"/>
    <n v="210"/>
    <n v="16"/>
    <x v="1"/>
    <x v="1"/>
    <n v="3"/>
  </r>
  <r>
    <s v="CUST-20178"/>
    <s v="Brighton Logistics"/>
    <x v="2"/>
    <s v="Alex Johnson"/>
    <s v="Technology"/>
    <x v="0"/>
    <x v="1"/>
    <d v="2025-01-24T00:00:00"/>
    <n v="610"/>
    <n v="46"/>
    <x v="0"/>
    <x v="1"/>
    <n v="4"/>
  </r>
  <r>
    <s v="CUST-20179"/>
    <s v="Cedar Group"/>
    <x v="0"/>
    <s v="Casey Brown"/>
    <s v="Financial Services"/>
    <x v="2"/>
    <x v="2"/>
    <d v="2026-01-03T00:00:00"/>
    <n v="420"/>
    <n v="18"/>
    <x v="1"/>
    <x v="2"/>
    <n v="3"/>
  </r>
  <r>
    <s v="CUST-20180"/>
    <s v="Oakridge Enterprises"/>
    <x v="0"/>
    <s v="Casey Brown"/>
    <s v="Financial Services"/>
    <x v="3"/>
    <x v="0"/>
    <d v="2026-01-16T00:00:00"/>
    <n v="125"/>
    <n v="2"/>
    <x v="0"/>
    <x v="1"/>
    <n v="3"/>
  </r>
  <r>
    <s v="CUST-20181"/>
    <s v="Prairie Manufacturing"/>
    <x v="0"/>
    <s v="Casey Brown"/>
    <s v="Manufacturing"/>
    <x v="2"/>
    <x v="1"/>
    <d v="2024-05-03T00:00:00"/>
    <n v="210"/>
    <n v="23"/>
    <x v="1"/>
    <x v="0"/>
    <n v="4"/>
  </r>
  <r>
    <s v="CUST-20182"/>
    <s v="Brighton Services"/>
    <x v="2"/>
    <s v="Alex Johnson"/>
    <s v="Manufacturing"/>
    <x v="1"/>
    <x v="2"/>
    <d v="2025-02-18T00:00:00"/>
    <n v="625"/>
    <n v="28"/>
    <x v="1"/>
    <x v="0"/>
    <n v="4"/>
  </r>
  <r>
    <s v="CUST-20183"/>
    <s v="Redwood Systems"/>
    <x v="0"/>
    <s v="Alex Johnson"/>
    <s v="Retail"/>
    <x v="3"/>
    <x v="0"/>
    <d v="2024-03-28T00:00:00"/>
    <n v="360"/>
    <n v="15"/>
    <x v="0"/>
    <x v="1"/>
    <n v="4"/>
  </r>
  <r>
    <s v="CUST-20184"/>
    <s v="Oakridge Systems"/>
    <x v="2"/>
    <s v="Riley Wilson"/>
    <s v="Healthcare"/>
    <x v="0"/>
    <x v="0"/>
    <d v="2025-03-21T00:00:00"/>
    <n v="510"/>
    <n v="67"/>
    <x v="1"/>
    <x v="1"/>
    <n v="4"/>
  </r>
  <r>
    <s v="CUST-20185"/>
    <s v="Prairie Technologies"/>
    <x v="2"/>
    <s v="Morgan Davis"/>
    <s v="Retail"/>
    <x v="4"/>
    <x v="2"/>
    <d v="2025-02-06T00:00:00"/>
    <n v="335"/>
    <n v="17"/>
    <x v="1"/>
    <x v="1"/>
    <n v="5"/>
  </r>
  <r>
    <s v="CUST-20186"/>
    <s v="Stonebridge Logistics"/>
    <x v="1"/>
    <s v="Jordan Lee"/>
    <s v="Logistics"/>
    <x v="3"/>
    <x v="2"/>
    <d v="2026-05-28T00:00:00"/>
    <n v="435"/>
    <n v="24"/>
    <x v="0"/>
    <x v="2"/>
    <n v="4"/>
  </r>
  <r>
    <s v="CUST-20187"/>
    <s v="BlueRiver Technologies"/>
    <x v="2"/>
    <s v="Alex Johnson"/>
    <s v="Financial Services"/>
    <x v="2"/>
    <x v="2"/>
    <d v="2024-04-02T00:00:00"/>
    <n v="585"/>
    <n v="20"/>
    <x v="1"/>
    <x v="1"/>
    <n v="2"/>
  </r>
  <r>
    <s v="CUST-20188"/>
    <s v="Clearwater Manufacturing"/>
    <x v="0"/>
    <s v="Taylor Smith"/>
    <s v="Financial Services"/>
    <x v="4"/>
    <x v="1"/>
    <d v="2025-08-25T00:00:00"/>
    <n v="450"/>
    <n v="20"/>
    <x v="1"/>
    <x v="1"/>
    <n v="4"/>
  </r>
  <r>
    <s v="CUST-20189"/>
    <s v="Oakridge Solutions"/>
    <x v="3"/>
    <s v="Taylor Smith"/>
    <s v="Logistics"/>
    <x v="4"/>
    <x v="2"/>
    <d v="2025-06-21T00:00:00"/>
    <n v="345"/>
    <n v="6"/>
    <x v="0"/>
    <x v="1"/>
    <n v="4"/>
  </r>
  <r>
    <s v="CUST-20190"/>
    <s v="Lakeview Technologies"/>
    <x v="1"/>
    <s v="Riley Wilson"/>
    <s v="Technology"/>
    <x v="0"/>
    <x v="1"/>
    <d v="2025-09-14T00:00:00"/>
    <n v="515"/>
    <n v="39"/>
    <x v="0"/>
    <x v="2"/>
    <n v="4"/>
  </r>
  <r>
    <s v="CUST-20191"/>
    <s v="Metro Solutions"/>
    <x v="0"/>
    <s v="Taylor Smith"/>
    <s v="Technology"/>
    <x v="4"/>
    <x v="1"/>
    <d v="2026-06-02T00:00:00"/>
    <n v="170"/>
    <n v="16"/>
    <x v="1"/>
    <x v="0"/>
    <n v="4"/>
  </r>
  <r>
    <s v="CUST-20192"/>
    <s v="Evergreen Partners"/>
    <x v="2"/>
    <s v="Morgan Davis"/>
    <s v="Financial Services"/>
    <x v="0"/>
    <x v="2"/>
    <d v="2024-07-23T00:00:00"/>
    <n v="470"/>
    <n v="20"/>
    <x v="0"/>
    <x v="1"/>
    <n v="5"/>
  </r>
  <r>
    <s v="CUST-20193"/>
    <s v="Clearwater Systems"/>
    <x v="0"/>
    <s v="Casey Brown"/>
    <s v="Manufacturing"/>
    <x v="1"/>
    <x v="0"/>
    <d v="2025-02-05T00:00:00"/>
    <n v="290"/>
    <n v="8"/>
    <x v="1"/>
    <x v="1"/>
    <n v="5"/>
  </r>
  <r>
    <s v="CUST-20194"/>
    <s v="Parkway Group"/>
    <x v="3"/>
    <s v="Casey Brown"/>
    <s v="Manufacturing"/>
    <x v="3"/>
    <x v="1"/>
    <d v="2025-04-19T00:00:00"/>
    <n v="130"/>
    <n v="4"/>
    <x v="1"/>
    <x v="2"/>
    <n v="2"/>
  </r>
  <r>
    <s v="CUST-20195"/>
    <s v="Parkway Technologies"/>
    <x v="2"/>
    <s v="Jordan Lee"/>
    <s v="Logistics"/>
    <x v="1"/>
    <x v="1"/>
    <d v="2024-12-31T00:00:00"/>
    <n v="390"/>
    <n v="22"/>
    <x v="1"/>
    <x v="1"/>
    <n v="3"/>
  </r>
  <r>
    <s v="CUST-20196"/>
    <s v="Summit Systems"/>
    <x v="0"/>
    <s v="Casey Brown"/>
    <s v="Financial Services"/>
    <x v="4"/>
    <x v="2"/>
    <d v="2025-08-24T00:00:00"/>
    <n v="590"/>
    <n v="20"/>
    <x v="1"/>
    <x v="1"/>
    <n v="5"/>
  </r>
  <r>
    <s v="CUST-20197"/>
    <s v="Metro Services"/>
    <x v="1"/>
    <s v="Casey Brown"/>
    <s v="Logistics"/>
    <x v="2"/>
    <x v="2"/>
    <d v="2025-08-24T00:00:00"/>
    <n v="410"/>
    <n v="10"/>
    <x v="1"/>
    <x v="0"/>
    <n v="4"/>
  </r>
  <r>
    <s v="CUST-20198"/>
    <s v="Horizon Partners"/>
    <x v="1"/>
    <s v="Riley Wilson"/>
    <s v="Manufacturing"/>
    <x v="0"/>
    <x v="2"/>
    <d v="2024-06-17T00:00:00"/>
    <n v="625"/>
    <n v="58"/>
    <x v="1"/>
    <x v="1"/>
    <n v="4"/>
  </r>
  <r>
    <s v="CUST-20199"/>
    <s v="Metro Systems"/>
    <x v="1"/>
    <s v="Casey Brown"/>
    <s v="Manufacturing"/>
    <x v="4"/>
    <x v="2"/>
    <d v="2025-05-30T00:00:00"/>
    <n v="415"/>
    <n v="16"/>
    <x v="0"/>
    <x v="1"/>
    <n v="4"/>
  </r>
  <r>
    <s v="CUST-20200"/>
    <s v="Summit Partners"/>
    <x v="0"/>
    <s v="Alex Johnson"/>
    <s v="Retail"/>
    <x v="0"/>
    <x v="1"/>
    <d v="2024-10-01T00:00:00"/>
    <n v="370"/>
    <n v="69"/>
    <x v="1"/>
    <x v="1"/>
    <n v="5"/>
  </r>
  <r>
    <s v="CUST-20201"/>
    <s v="Cedar Manufacturing"/>
    <x v="3"/>
    <s v="Alex Johnson"/>
    <s v="Retail"/>
    <x v="4"/>
    <x v="0"/>
    <d v="2026-06-07T00:00:00"/>
    <n v="245"/>
    <n v="13"/>
    <x v="1"/>
    <x v="1"/>
    <n v="4"/>
  </r>
  <r>
    <s v="CUST-20202"/>
    <s v="Silverline Industries"/>
    <x v="1"/>
    <s v="Unassigned"/>
    <s v="Manufacturing"/>
    <x v="1"/>
    <x v="1"/>
    <d v="2025-06-28T00:00:00"/>
    <n v="485"/>
    <n v="51"/>
    <x v="1"/>
    <x v="1"/>
    <n v="2"/>
  </r>
  <r>
    <s v="CUST-20203"/>
    <s v="Riverside Technologies"/>
    <x v="3"/>
    <s v="Riley Wilson"/>
    <s v="Logistics"/>
    <x v="2"/>
    <x v="2"/>
    <d v="2026-05-13T00:00:00"/>
    <n v="345"/>
    <n v="4"/>
    <x v="1"/>
    <x v="1"/>
    <n v="4"/>
  </r>
  <r>
    <s v="CUST-20204"/>
    <s v="Granite Technologies"/>
    <x v="0"/>
    <s v="Morgan Davis"/>
    <s v="Healthcare"/>
    <x v="0"/>
    <x v="1"/>
    <d v="2025-07-29T00:00:00"/>
    <n v="1290"/>
    <n v="67"/>
    <x v="1"/>
    <x v="1"/>
    <n v="2"/>
  </r>
  <r>
    <s v="CUST-20205"/>
    <s v="BlueRiver Solutions"/>
    <x v="1"/>
    <s v="Casey Brown"/>
    <s v="Logistics"/>
    <x v="3"/>
    <x v="2"/>
    <d v="2025-02-16T00:00:00"/>
    <n v="230"/>
    <n v="3"/>
    <x v="1"/>
    <x v="1"/>
    <n v="4"/>
  </r>
  <r>
    <s v="CUST-20206"/>
    <s v="Horizon Partners"/>
    <x v="0"/>
    <s v="Casey Brown"/>
    <s v="Retail"/>
    <x v="4"/>
    <x v="2"/>
    <d v="2025-03-15T00:00:00"/>
    <n v="330"/>
    <n v="12"/>
    <x v="1"/>
    <x v="1"/>
    <n v="4"/>
  </r>
  <r>
    <s v="CUST-20207"/>
    <s v="Riverside Services"/>
    <x v="0"/>
    <s v="Alex Johnson"/>
    <s v="Retail"/>
    <x v="1"/>
    <x v="2"/>
    <d v="2024-09-08T00:00:00"/>
    <n v="1340"/>
    <n v="76"/>
    <x v="1"/>
    <x v="0"/>
    <n v="4"/>
  </r>
  <r>
    <s v="CUST-20208"/>
    <s v="Granite Partners"/>
    <x v="3"/>
    <s v="Casey Brown"/>
    <s v="Financial Services"/>
    <x v="1"/>
    <x v="0"/>
    <d v="2025-11-28T00:00:00"/>
    <n v="700"/>
    <n v="74"/>
    <x v="0"/>
    <x v="0"/>
    <n v="4"/>
  </r>
  <r>
    <s v="CUST-20209"/>
    <s v="Northstar Services"/>
    <x v="2"/>
    <s v="Taylor Smith"/>
    <s v="Retail"/>
    <x v="2"/>
    <x v="1"/>
    <d v="2024-12-25T00:00:00"/>
    <n v="300"/>
    <n v="21"/>
    <x v="1"/>
    <x v="1"/>
    <n v="3"/>
  </r>
  <r>
    <s v="CUST-20210"/>
    <s v="Brighton Partners"/>
    <x v="2"/>
    <s v="Morgan Davis"/>
    <s v="Technology"/>
    <x v="0"/>
    <x v="0"/>
    <d v="2026-03-02T00:00:00"/>
    <n v="480"/>
    <n v="40"/>
    <x v="1"/>
    <x v="2"/>
    <n v="3"/>
  </r>
  <r>
    <s v="CUST-20211"/>
    <s v="Clearwater Group"/>
    <x v="3"/>
    <s v="Riley Wilson"/>
    <s v="Logistics"/>
    <x v="3"/>
    <x v="0"/>
    <d v="2024-03-15T00:00:00"/>
    <n v="160"/>
    <n v="7"/>
    <x v="1"/>
    <x v="2"/>
    <n v="4"/>
  </r>
  <r>
    <s v="CUST-20212"/>
    <s v="Cedar Logistics"/>
    <x v="0"/>
    <s v="Morgan Davis"/>
    <s v="Technology"/>
    <x v="2"/>
    <x v="0"/>
    <d v="2024-06-26T00:00:00"/>
    <n v="280"/>
    <n v="6"/>
    <x v="1"/>
    <x v="1"/>
    <n v="4"/>
  </r>
  <r>
    <s v="CUST-20213"/>
    <s v="Parkway Partners"/>
    <x v="1"/>
    <s v="Taylor Smith"/>
    <s v="Logistics"/>
    <x v="1"/>
    <x v="0"/>
    <d v="2024-02-22T00:00:00"/>
    <n v="605"/>
    <n v="67"/>
    <x v="1"/>
    <x v="0"/>
    <n v="5"/>
  </r>
  <r>
    <s v="CUST-20214"/>
    <s v="Cedar Systems"/>
    <x v="1"/>
    <s v="Casey Brown"/>
    <s v="Manufacturing"/>
    <x v="4"/>
    <x v="2"/>
    <d v="2025-01-13T00:00:00"/>
    <n v="340"/>
    <n v="6"/>
    <x v="0"/>
    <x v="0"/>
    <n v="5"/>
  </r>
  <r>
    <s v="CUST-20215"/>
    <s v="Riverside Logistics"/>
    <x v="2"/>
    <s v="Casey Brown"/>
    <s v="Logistics"/>
    <x v="2"/>
    <x v="2"/>
    <d v="2024-02-06T00:00:00"/>
    <n v="405"/>
    <n v="18"/>
    <x v="0"/>
    <x v="1"/>
    <n v="5"/>
  </r>
  <r>
    <s v="CUST-20216"/>
    <s v="Riverside Logistics"/>
    <x v="0"/>
    <s v="Riley Wilson"/>
    <s v="Manufacturing"/>
    <x v="0"/>
    <x v="1"/>
    <d v="2024-09-26T00:00:00"/>
    <n v="205"/>
    <n v="10"/>
    <x v="1"/>
    <x v="1"/>
    <n v="3"/>
  </r>
  <r>
    <s v="CUST-20217"/>
    <s v="Northstar Systems"/>
    <x v="0"/>
    <s v="Casey Brown"/>
    <s v="Logistics"/>
    <x v="4"/>
    <x v="1"/>
    <d v="2025-07-16T00:00:00"/>
    <n v="215"/>
    <n v="18"/>
    <x v="1"/>
    <x v="1"/>
    <n v="2"/>
  </r>
  <r>
    <s v="CUST-20218"/>
    <s v="Northstar Technologies"/>
    <x v="3"/>
    <s v="Taylor Smith"/>
    <s v="Technology"/>
    <x v="0"/>
    <x v="1"/>
    <d v="2024-03-09T00:00:00"/>
    <n v="575"/>
    <n v="37"/>
    <x v="1"/>
    <x v="0"/>
    <n v="2"/>
  </r>
  <r>
    <s v="CUST-20219"/>
    <s v="Redwood Industries"/>
    <x v="3"/>
    <s v="Casey Brown"/>
    <s v="Financial Services"/>
    <x v="2"/>
    <x v="1"/>
    <d v="2025-12-16T00:00:00"/>
    <n v="120"/>
    <n v="1"/>
    <x v="1"/>
    <x v="1"/>
    <n v="3"/>
  </r>
  <r>
    <s v="CUST-20220"/>
    <s v="Stonebridge Solutions"/>
    <x v="0"/>
    <s v="Riley Wilson"/>
    <s v="Logistics"/>
    <x v="4"/>
    <x v="0"/>
    <d v="2024-08-23T00:00:00"/>
    <n v="170"/>
    <n v="1"/>
    <x v="1"/>
    <x v="0"/>
    <n v="4"/>
  </r>
  <r>
    <s v="CUST-20221"/>
    <s v="Brighton Systems"/>
    <x v="1"/>
    <s v="Morgan Davis"/>
    <s v="Technology"/>
    <x v="0"/>
    <x v="2"/>
    <d v="2026-06-07T00:00:00"/>
    <n v="690"/>
    <n v="77"/>
    <x v="0"/>
    <x v="2"/>
    <n v="5"/>
  </r>
  <r>
    <s v="CUST-20222"/>
    <s v="Northstar Enterprises"/>
    <x v="2"/>
    <s v="Morgan Davis"/>
    <s v="Technology"/>
    <x v="1"/>
    <x v="1"/>
    <d v="2026-01-28T00:00:00"/>
    <n v="200"/>
    <n v="8"/>
    <x v="1"/>
    <x v="1"/>
    <n v="5"/>
  </r>
  <r>
    <s v="CUST-20223"/>
    <s v="Horizon Services"/>
    <x v="1"/>
    <s v="Alex Johnson"/>
    <s v="Retail"/>
    <x v="3"/>
    <x v="1"/>
    <d v="2024-06-14T00:00:00"/>
    <n v="120"/>
    <n v="7"/>
    <x v="1"/>
    <x v="1"/>
    <n v="3"/>
  </r>
  <r>
    <s v="CUST-20224"/>
    <s v="Stonebridge Group"/>
    <x v="3"/>
    <s v="Riley Wilson"/>
    <s v="Retail"/>
    <x v="4"/>
    <x v="2"/>
    <d v="2024-06-22T00:00:00"/>
    <n v="525"/>
    <n v="17"/>
    <x v="1"/>
    <x v="1"/>
    <n v="5"/>
  </r>
  <r>
    <s v="CUST-20225"/>
    <s v="Oakridge Partners"/>
    <x v="0"/>
    <s v="Taylor Smith"/>
    <s v="Technology"/>
    <x v="0"/>
    <x v="0"/>
    <d v="2025-03-23T00:00:00"/>
    <n v="480"/>
    <n v="20"/>
    <x v="1"/>
    <x v="1"/>
    <n v="4"/>
  </r>
  <r>
    <s v="CUST-20226"/>
    <s v="Granite Services"/>
    <x v="2"/>
    <s v="Taylor Smith"/>
    <s v="Retail"/>
    <x v="1"/>
    <x v="0"/>
    <d v="2024-04-02T00:00:00"/>
    <n v="770"/>
    <n v="75"/>
    <x v="0"/>
    <x v="1"/>
    <n v="4"/>
  </r>
  <r>
    <s v="CUST-20227"/>
    <s v="Summit Logistics"/>
    <x v="1"/>
    <s v="Alex Johnson"/>
    <s v="Retail"/>
    <x v="2"/>
    <x v="0"/>
    <d v="2025-05-08T00:00:00"/>
    <n v="245"/>
    <n v="8"/>
    <x v="1"/>
    <x v="1"/>
    <n v="3"/>
  </r>
  <r>
    <s v="CUST-20228"/>
    <s v="Stonebridge Services"/>
    <x v="1"/>
    <s v="Jordan Lee"/>
    <s v="Logistics"/>
    <x v="0"/>
    <x v="0"/>
    <d v="2025-09-02T00:00:00"/>
    <n v="1385"/>
    <n v="76"/>
    <x v="1"/>
    <x v="1"/>
    <n v="4"/>
  </r>
  <r>
    <s v="CUST-20229"/>
    <s v="Lakeview Industries"/>
    <x v="2"/>
    <s v="Taylor Smith"/>
    <s v="Technology"/>
    <x v="0"/>
    <x v="1"/>
    <d v="2024-02-17T00:00:00"/>
    <n v="415"/>
    <n v="23"/>
    <x v="1"/>
    <x v="0"/>
    <n v="3"/>
  </r>
  <r>
    <s v="CUST-20230"/>
    <s v="BlueRiver Enterprises"/>
    <x v="2"/>
    <s v="Riley Wilson"/>
    <s v="Manufacturing"/>
    <x v="3"/>
    <x v="1"/>
    <d v="2026-02-09T00:00:00"/>
    <n v="325"/>
    <n v="19"/>
    <x v="0"/>
    <x v="1"/>
    <n v="5"/>
  </r>
  <r>
    <s v="CUST-20231"/>
    <s v="Parkway Systems"/>
    <x v="3"/>
    <s v="Alex Johnson"/>
    <s v="Healthcare"/>
    <x v="2"/>
    <x v="0"/>
    <d v="2025-03-14T00:00:00"/>
    <n v="275"/>
    <n v="13"/>
    <x v="1"/>
    <x v="2"/>
    <n v="5"/>
  </r>
  <r>
    <s v="CUST-20232"/>
    <s v="Brighton Logistics"/>
    <x v="1"/>
    <s v="Taylor Smith"/>
    <s v="Healthcare"/>
    <x v="3"/>
    <x v="0"/>
    <d v="2024-08-15T00:00:00"/>
    <n v="250"/>
    <n v="13"/>
    <x v="1"/>
    <x v="1"/>
    <n v="4"/>
  </r>
  <r>
    <s v="CUST-20233"/>
    <s v="Redwood Systems"/>
    <x v="1"/>
    <s v="Casey Brown"/>
    <s v="Logistics"/>
    <x v="1"/>
    <x v="0"/>
    <d v="2025-03-22T00:00:00"/>
    <n v="415"/>
    <n v="37"/>
    <x v="1"/>
    <x v="0"/>
    <n v="5"/>
  </r>
  <r>
    <s v="CUST-20234"/>
    <s v="Lakeview Systems"/>
    <x v="0"/>
    <s v="Morgan Davis"/>
    <s v="Technology"/>
    <x v="0"/>
    <x v="2"/>
    <d v="2025-07-25T00:00:00"/>
    <n v="450"/>
    <n v="16"/>
    <x v="1"/>
    <x v="0"/>
    <n v="4"/>
  </r>
  <r>
    <s v="CUST-20235"/>
    <s v="Pioneer Partners"/>
    <x v="0"/>
    <s v="Jordan Lee"/>
    <s v="Retail"/>
    <x v="2"/>
    <x v="2"/>
    <d v="2025-06-24T00:00:00"/>
    <n v="320"/>
    <n v="9"/>
    <x v="0"/>
    <x v="2"/>
    <n v="2"/>
  </r>
  <r>
    <s v="CUST-20236"/>
    <s v="Horizon Group"/>
    <x v="3"/>
    <s v="Taylor Smith"/>
    <s v="Manufacturing"/>
    <x v="4"/>
    <x v="0"/>
    <d v="2024-10-20T00:00:00"/>
    <n v="260"/>
    <n v="19"/>
    <x v="1"/>
    <x v="0"/>
    <n v="3"/>
  </r>
  <r>
    <s v="CUST-20237"/>
    <s v="Summit Industries"/>
    <x v="0"/>
    <s v="Casey Brown"/>
    <s v="Technology"/>
    <x v="0"/>
    <x v="0"/>
    <d v="2024-01-12T00:00:00"/>
    <n v="1285"/>
    <n v="77"/>
    <x v="1"/>
    <x v="0"/>
    <n v="4"/>
  </r>
  <r>
    <s v="CUST-20238"/>
    <s v="Cedar Group"/>
    <x v="3"/>
    <s v="Taylor Smith"/>
    <s v="Financial Services"/>
    <x v="3"/>
    <x v="2"/>
    <d v="2026-03-27T00:00:00"/>
    <n v="200"/>
    <n v="3"/>
    <x v="1"/>
    <x v="1"/>
    <n v="4"/>
  </r>
  <r>
    <s v="CUST-20239"/>
    <s v="Redwood Systems"/>
    <x v="1"/>
    <s v="Alex Johnson"/>
    <s v="Manufacturing"/>
    <x v="0"/>
    <x v="0"/>
    <d v="2024-03-07T00:00:00"/>
    <n v="750"/>
    <n v="38"/>
    <x v="1"/>
    <x v="1"/>
    <n v="4"/>
  </r>
  <r>
    <s v="CUST-20240"/>
    <s v="Evergreen Logistics"/>
    <x v="3"/>
    <s v="Jordan Lee"/>
    <s v="Logistics"/>
    <x v="3"/>
    <x v="0"/>
    <d v="2024-08-12T00:00:00"/>
    <n v="240"/>
    <n v="12"/>
    <x v="0"/>
    <x v="1"/>
    <n v="5"/>
  </r>
  <r>
    <s v="CUST-20241"/>
    <s v="Riverside Logistics"/>
    <x v="3"/>
    <s v="Riley Wilson"/>
    <s v="Technology"/>
    <x v="0"/>
    <x v="1"/>
    <d v="2024-05-28T00:00:00"/>
    <n v="185"/>
    <n v="10"/>
    <x v="1"/>
    <x v="2"/>
    <n v="2"/>
  </r>
  <r>
    <s v="CUST-20242"/>
    <s v="Stonebridge Technologies"/>
    <x v="0"/>
    <s v="Alex Johnson"/>
    <s v="Healthcare"/>
    <x v="1"/>
    <x v="0"/>
    <d v="2026-01-01T00:00:00"/>
    <n v="570"/>
    <n v="21"/>
    <x v="1"/>
    <x v="1"/>
    <n v="2"/>
  </r>
  <r>
    <s v="CUST-20243"/>
    <s v="Parkway Services"/>
    <x v="3"/>
    <s v="Taylor Smith"/>
    <s v="Manufacturing"/>
    <x v="1"/>
    <x v="0"/>
    <d v="2025-06-15T00:00:00"/>
    <n v="380"/>
    <n v="12"/>
    <x v="1"/>
    <x v="2"/>
    <n v="5"/>
  </r>
  <r>
    <s v="CUST-20244"/>
    <s v="Stonebridge Industries"/>
    <x v="0"/>
    <s v="Morgan Davis"/>
    <s v="Technology"/>
    <x v="1"/>
    <x v="0"/>
    <d v="2026-06-08T00:00:00"/>
    <n v="300"/>
    <n v="8"/>
    <x v="1"/>
    <x v="1"/>
    <n v="5"/>
  </r>
  <r>
    <s v="CUST-20245"/>
    <s v="Parkway Technologies"/>
    <x v="2"/>
    <s v="Jordan Lee"/>
    <s v="Retail"/>
    <x v="1"/>
    <x v="1"/>
    <d v="2024-10-18T00:00:00"/>
    <n v="185"/>
    <n v="7"/>
    <x v="1"/>
    <x v="1"/>
    <n v="4"/>
  </r>
  <r>
    <s v="CUST-20246"/>
    <s v="Highland Systems"/>
    <x v="1"/>
    <s v="Jordan Lee"/>
    <s v="Retail"/>
    <x v="4"/>
    <x v="2"/>
    <d v="2024-02-02T00:00:00"/>
    <n v="565"/>
    <n v="18"/>
    <x v="0"/>
    <x v="1"/>
    <n v="5"/>
  </r>
  <r>
    <s v="CUST-20247"/>
    <s v="Redwood Solutions"/>
    <x v="1"/>
    <s v="Jordan Lee"/>
    <s v="Financial Services"/>
    <x v="1"/>
    <x v="0"/>
    <d v="2024-02-03T00:00:00"/>
    <n v="750"/>
    <n v="29"/>
    <x v="1"/>
    <x v="1"/>
    <n v="2"/>
  </r>
  <r>
    <s v="CUST-20248"/>
    <s v="Redwood Solutions"/>
    <x v="3"/>
    <s v="Casey Brown"/>
    <s v="Financial Services"/>
    <x v="2"/>
    <x v="1"/>
    <d v="2025-07-05T00:00:00"/>
    <n v="460"/>
    <n v="24"/>
    <x v="0"/>
    <x v="2"/>
    <n v="4"/>
  </r>
  <r>
    <s v="CUST-20249"/>
    <s v="Riverside Enterprises"/>
    <x v="0"/>
    <s v="Morgan Davis"/>
    <s v="Technology"/>
    <x v="0"/>
    <x v="1"/>
    <d v="2024-02-24T00:00:00"/>
    <n v="575"/>
    <n v="29"/>
    <x v="1"/>
    <x v="2"/>
    <n v="4"/>
  </r>
  <r>
    <s v="CUST-20250"/>
    <s v="Horizon Systems"/>
    <x v="2"/>
    <s v="Riley Wilson"/>
    <s v="Financial Services"/>
    <x v="0"/>
    <x v="1"/>
    <d v="2025-01-18T00:00:00"/>
    <n v="740"/>
    <n v="67"/>
    <x v="0"/>
    <x v="1"/>
    <n v="8"/>
  </r>
  <r>
    <s v="CUST-20251"/>
    <s v="Riverside Logistics"/>
    <x v="0"/>
    <s v="Taylor Smith"/>
    <s v="Financial Services"/>
    <x v="3"/>
    <x v="2"/>
    <d v="2025-01-03T00:00:00"/>
    <n v="310"/>
    <n v="12"/>
    <x v="0"/>
    <x v="1"/>
    <n v="3"/>
  </r>
  <r>
    <s v="CUST-20252"/>
    <s v="Brighton Partners"/>
    <x v="0"/>
    <s v="Alex Johnson"/>
    <s v="Retail"/>
    <x v="0"/>
    <x v="1"/>
    <d v="2025-10-24T00:00:00"/>
    <n v="145"/>
    <n v="11"/>
    <x v="1"/>
    <x v="1"/>
    <n v="4"/>
  </r>
  <r>
    <s v="CUST-20253"/>
    <s v="Horizon Logistics"/>
    <x v="0"/>
    <s v="Casey Brown"/>
    <s v="Retail"/>
    <x v="3"/>
    <x v="1"/>
    <d v="2025-01-08T00:00:00"/>
    <n v="205"/>
    <n v="10"/>
    <x v="1"/>
    <x v="1"/>
    <n v="5"/>
  </r>
  <r>
    <s v="CUST-20254"/>
    <s v="Evergreen Group"/>
    <x v="1"/>
    <s v="Casey Brown"/>
    <s v="Retail"/>
    <x v="2"/>
    <x v="2"/>
    <d v="2024-01-29T00:00:00"/>
    <n v="385"/>
    <n v="12"/>
    <x v="1"/>
    <x v="1"/>
    <n v="5"/>
  </r>
  <r>
    <s v="CUST-20255"/>
    <s v="Northstar Partners"/>
    <x v="2"/>
    <s v="Morgan Davis"/>
    <s v="Technology"/>
    <x v="4"/>
    <x v="1"/>
    <d v="2026-06-07T00:00:00"/>
    <n v="335"/>
    <n v="21"/>
    <x v="0"/>
    <x v="2"/>
    <n v="5"/>
  </r>
  <r>
    <s v="CUST-20256"/>
    <s v="Summit Partners"/>
    <x v="0"/>
    <s v="Morgan Davis"/>
    <s v="Technology"/>
    <x v="3"/>
    <x v="2"/>
    <d v="2024-06-21T00:00:00"/>
    <n v="185"/>
    <n v="1"/>
    <x v="0"/>
    <x v="1"/>
    <n v="5"/>
  </r>
  <r>
    <s v="CUST-20257"/>
    <s v="Northstar Systems"/>
    <x v="3"/>
    <s v="Morgan Davis"/>
    <s v="Manufacturing"/>
    <x v="2"/>
    <x v="1"/>
    <d v="2026-03-03T00:00:00"/>
    <n v="315"/>
    <n v="17"/>
    <x v="1"/>
    <x v="0"/>
    <n v="3"/>
  </r>
  <r>
    <s v="CUST-20258"/>
    <s v="Prairie Enterprises"/>
    <x v="1"/>
    <s v="Alex Johnson"/>
    <s v="Technology"/>
    <x v="4"/>
    <x v="1"/>
    <d v="2025-12-12T00:00:00"/>
    <n v="175"/>
    <n v="19"/>
    <x v="1"/>
    <x v="1"/>
    <n v="3"/>
  </r>
  <r>
    <s v="CUST-20259"/>
    <s v="Horizon Manufacturing"/>
    <x v="0"/>
    <s v="Jordan Lee"/>
    <s v="Financial Services"/>
    <x v="4"/>
    <x v="0"/>
    <d v="2025-11-27T00:00:00"/>
    <n v="320"/>
    <n v="21"/>
    <x v="1"/>
    <x v="1"/>
    <n v="3"/>
  </r>
  <r>
    <s v="CUST-20260"/>
    <s v="Brighton Enterprises"/>
    <x v="1"/>
    <s v="Taylor Smith"/>
    <s v="Healthcare"/>
    <x v="0"/>
    <x v="1"/>
    <d v="2025-06-03T00:00:00"/>
    <n v="330"/>
    <n v="18"/>
    <x v="0"/>
    <x v="1"/>
    <n v="3"/>
  </r>
  <r>
    <s v="CUST-20261"/>
    <s v="Lakeview Group"/>
    <x v="2"/>
    <s v="Taylor Smith"/>
    <s v="Technology"/>
    <x v="4"/>
    <x v="2"/>
    <d v="2026-04-14T00:00:00"/>
    <n v="460"/>
    <n v="12"/>
    <x v="0"/>
    <x v="1"/>
    <n v="4"/>
  </r>
  <r>
    <s v="CUST-20262"/>
    <s v="Parkway Systems"/>
    <x v="3"/>
    <s v="Riley Wilson"/>
    <s v="Logistics"/>
    <x v="1"/>
    <x v="2"/>
    <d v="2025-10-30T00:00:00"/>
    <n v="620"/>
    <n v="20"/>
    <x v="1"/>
    <x v="1"/>
    <n v="4"/>
  </r>
  <r>
    <s v="CUST-20263"/>
    <s v="Brighton Solutions"/>
    <x v="3"/>
    <s v="Jordan Lee"/>
    <s v="Manufacturing"/>
    <x v="2"/>
    <x v="2"/>
    <d v="2025-04-26T00:00:00"/>
    <n v="400"/>
    <n v="7"/>
    <x v="1"/>
    <x v="1"/>
    <n v="5"/>
  </r>
  <r>
    <s v="CUST-20264"/>
    <s v="Riverside Systems"/>
    <x v="1"/>
    <s v="Riley Wilson"/>
    <s v="Retail"/>
    <x v="0"/>
    <x v="0"/>
    <d v="2025-11-05T00:00:00"/>
    <n v="860"/>
    <n v="75"/>
    <x v="1"/>
    <x v="2"/>
    <n v="3"/>
  </r>
  <r>
    <s v="CUST-20265"/>
    <s v="Highland Industries"/>
    <x v="3"/>
    <s v="Riley Wilson"/>
    <s v="Manufacturing"/>
    <x v="1"/>
    <x v="1"/>
    <d v="2025-11-13T00:00:00"/>
    <n v="630"/>
    <n v="56"/>
    <x v="1"/>
    <x v="0"/>
    <n v="4"/>
  </r>
  <r>
    <s v="CUST-20266"/>
    <s v="BlueRiver Enterprises"/>
    <x v="0"/>
    <s v="Alex Johnson"/>
    <s v="Financial Services"/>
    <x v="1"/>
    <x v="1"/>
    <d v="2024-09-26T00:00:00"/>
    <n v="475"/>
    <n v="36"/>
    <x v="1"/>
    <x v="1"/>
    <n v="2"/>
  </r>
  <r>
    <s v="CUST-20267"/>
    <s v="Lakeview Partners"/>
    <x v="0"/>
    <s v="Jordan Lee"/>
    <s v="Technology"/>
    <x v="2"/>
    <x v="1"/>
    <d v="2024-12-19T00:00:00"/>
    <n v="165"/>
    <n v="12"/>
    <x v="0"/>
    <x v="0"/>
    <n v="4"/>
  </r>
  <r>
    <s v="CUST-20268"/>
    <s v="Lakeview Manufacturing"/>
    <x v="3"/>
    <s v="Morgan Davis"/>
    <s v="Manufacturing"/>
    <x v="0"/>
    <x v="2"/>
    <d v="2024-01-29T00:00:00"/>
    <n v="400"/>
    <n v="22"/>
    <x v="1"/>
    <x v="1"/>
    <n v="2"/>
  </r>
  <r>
    <s v="CUST-20269"/>
    <s v="Prairie Enterprises"/>
    <x v="1"/>
    <s v="Jordan Lee"/>
    <s v="Healthcare"/>
    <x v="2"/>
    <x v="0"/>
    <d v="2025-09-05T00:00:00"/>
    <n v="355"/>
    <n v="24"/>
    <x v="1"/>
    <x v="2"/>
    <n v="4"/>
  </r>
  <r>
    <s v="CUST-20270"/>
    <s v="Horizon Enterprises"/>
    <x v="1"/>
    <s v="Morgan Davis"/>
    <s v="Financial Services"/>
    <x v="2"/>
    <x v="1"/>
    <d v="2025-05-03T00:00:00"/>
    <n v="315"/>
    <n v="15"/>
    <x v="1"/>
    <x v="1"/>
    <n v="4"/>
  </r>
  <r>
    <s v="CUST-20271"/>
    <s v="Pioneer Group"/>
    <x v="3"/>
    <s v="Alex Johnson"/>
    <s v="Retail"/>
    <x v="1"/>
    <x v="1"/>
    <d v="2025-11-29T00:00:00"/>
    <n v="1045"/>
    <n v="71"/>
    <x v="1"/>
    <x v="1"/>
    <n v="3"/>
  </r>
  <r>
    <s v="CUST-20272"/>
    <s v="Summit Manufacturing"/>
    <x v="3"/>
    <s v="Casey Brown"/>
    <s v="Retail"/>
    <x v="1"/>
    <x v="0"/>
    <d v="2024-11-16T00:00:00"/>
    <n v="620"/>
    <n v="39"/>
    <x v="1"/>
    <x v="0"/>
    <n v="4"/>
  </r>
  <r>
    <s v="CUST-20273"/>
    <s v="Highland Partners"/>
    <x v="2"/>
    <s v="Riley Wilson"/>
    <s v="Technology"/>
    <x v="0"/>
    <x v="2"/>
    <d v="2025-04-30T00:00:00"/>
    <n v="1090"/>
    <n v="67"/>
    <x v="0"/>
    <x v="2"/>
    <n v="4"/>
  </r>
  <r>
    <s v="CUST-20274"/>
    <s v="Redwood Group"/>
    <x v="0"/>
    <s v="Alex Johnson"/>
    <s v="Financial Services"/>
    <x v="2"/>
    <x v="1"/>
    <d v="2024-09-19T00:00:00"/>
    <n v="470"/>
    <n v="23"/>
    <x v="1"/>
    <x v="1"/>
    <n v="5"/>
  </r>
  <r>
    <s v="CUST-20275"/>
    <s v="Brighton Services"/>
    <x v="2"/>
    <s v="Jordan Lee"/>
    <s v="Retail"/>
    <x v="4"/>
    <x v="0"/>
    <d v="2024-09-18T00:00:00"/>
    <n v="225"/>
    <n v="5"/>
    <x v="1"/>
    <x v="0"/>
    <n v="4"/>
  </r>
  <r>
    <s v="CUST-20276"/>
    <s v="Prairie Manufacturing"/>
    <x v="1"/>
    <s v="Taylor Smith"/>
    <s v="Retail"/>
    <x v="1"/>
    <x v="0"/>
    <d v="2026-03-30T00:00:00"/>
    <n v="980"/>
    <n v="51"/>
    <x v="1"/>
    <x v="1"/>
    <n v="5"/>
  </r>
  <r>
    <s v="CUST-20277"/>
    <s v="Horizon Partners"/>
    <x v="1"/>
    <s v="Taylor Smith"/>
    <s v="Technology"/>
    <x v="0"/>
    <x v="0"/>
    <d v="2025-11-26T00:00:00"/>
    <n v="340"/>
    <n v="17"/>
    <x v="1"/>
    <x v="1"/>
    <n v="2"/>
  </r>
  <r>
    <s v="CUST-20278"/>
    <s v="Lakeview Group"/>
    <x v="2"/>
    <s v="Alex Johnson"/>
    <s v="Manufacturing"/>
    <x v="1"/>
    <x v="1"/>
    <d v="2025-08-05T00:00:00"/>
    <n v="805"/>
    <n v="38"/>
    <x v="0"/>
    <x v="1"/>
    <n v="5"/>
  </r>
  <r>
    <s v="CUST-20279"/>
    <s v="Metro Manufacturing"/>
    <x v="3"/>
    <s v="Jordan Lee"/>
    <s v="Retail"/>
    <x v="3"/>
    <x v="1"/>
    <d v="2026-02-19T00:00:00"/>
    <n v="190"/>
    <n v="14"/>
    <x v="1"/>
    <x v="1"/>
    <n v="3"/>
  </r>
  <r>
    <s v="CUST-20280"/>
    <s v="Silverline Technologies"/>
    <x v="2"/>
    <s v="Alex Johnson"/>
    <s v="Manufacturing"/>
    <x v="4"/>
    <x v="0"/>
    <d v="2024-03-06T00:00:00"/>
    <n v="185"/>
    <n v="6"/>
    <x v="1"/>
    <x v="2"/>
    <n v="4"/>
  </r>
  <r>
    <s v="CUST-20281"/>
    <s v="Metro Services"/>
    <x v="0"/>
    <s v="Riley Wilson"/>
    <s v="Technology"/>
    <x v="0"/>
    <x v="1"/>
    <d v="2026-06-02T00:00:00"/>
    <n v="1165"/>
    <n v="76"/>
    <x v="1"/>
    <x v="1"/>
    <n v="4"/>
  </r>
  <r>
    <s v="CUST-20282"/>
    <s v="Redwood Enterprises"/>
    <x v="3"/>
    <s v="Jordan Lee"/>
    <s v="Financial Services"/>
    <x v="3"/>
    <x v="1"/>
    <d v="2025-01-15T00:00:00"/>
    <n v="140"/>
    <n v="17"/>
    <x v="1"/>
    <x v="1"/>
    <n v="2"/>
  </r>
  <r>
    <s v="CUST-20283"/>
    <s v="Evergreen Enterprises"/>
    <x v="3"/>
    <s v="Morgan Davis"/>
    <s v="Logistics"/>
    <x v="0"/>
    <x v="1"/>
    <d v="2025-06-10T00:00:00"/>
    <n v="730"/>
    <n v="74"/>
    <x v="1"/>
    <x v="0"/>
    <n v="5"/>
  </r>
  <r>
    <s v="CUST-20284"/>
    <s v="Highland Solutions"/>
    <x v="0"/>
    <s v="Riley Wilson"/>
    <s v="Technology"/>
    <x v="2"/>
    <x v="2"/>
    <d v="2024-07-16T00:00:00"/>
    <n v="405"/>
    <n v="13"/>
    <x v="1"/>
    <x v="2"/>
    <n v="4"/>
  </r>
  <r>
    <s v="CUST-20285"/>
    <s v="Oakridge Systems"/>
    <x v="1"/>
    <s v="Casey Brown"/>
    <s v="Retail"/>
    <x v="4"/>
    <x v="0"/>
    <d v="2025-01-07T00:00:00"/>
    <n v="350"/>
    <n v="19"/>
    <x v="1"/>
    <x v="1"/>
    <n v="4"/>
  </r>
  <r>
    <s v="CUST-20286"/>
    <s v="Lakeview Logistics"/>
    <x v="1"/>
    <s v="Jordan Lee"/>
    <s v="Logistics"/>
    <x v="4"/>
    <x v="1"/>
    <d v="2025-03-17T00:00:00"/>
    <n v="160"/>
    <n v="11"/>
    <x v="1"/>
    <x v="0"/>
    <n v="5"/>
  </r>
  <r>
    <s v="CUST-20287"/>
    <s v="BlueRiver Partners"/>
    <x v="3"/>
    <s v="Casey Brown"/>
    <s v="Healthcare"/>
    <x v="0"/>
    <x v="0"/>
    <d v="2025-04-19T00:00:00"/>
    <n v="520"/>
    <n v="25"/>
    <x v="0"/>
    <x v="1"/>
    <n v="2"/>
  </r>
  <r>
    <s v="CUST-20288"/>
    <s v="Granite Services"/>
    <x v="3"/>
    <s v="Riley Wilson"/>
    <s v="Retail"/>
    <x v="2"/>
    <x v="1"/>
    <d v="2025-06-05T00:00:00"/>
    <n v="115"/>
    <n v="1"/>
    <x v="1"/>
    <x v="1"/>
    <n v="4"/>
  </r>
  <r>
    <s v="CUST-20289"/>
    <s v="Granite Systems"/>
    <x v="1"/>
    <s v="Alex Johnson"/>
    <s v="Manufacturing"/>
    <x v="3"/>
    <x v="1"/>
    <d v="2025-06-21T00:00:00"/>
    <n v="175"/>
    <n v="9"/>
    <x v="1"/>
    <x v="1"/>
    <n v="5"/>
  </r>
  <r>
    <s v="CUST-20290"/>
    <s v="Horizon Partners"/>
    <x v="0"/>
    <s v="Jordan Lee"/>
    <s v="Financial Services"/>
    <x v="3"/>
    <x v="0"/>
    <d v="2024-10-12T00:00:00"/>
    <n v="300"/>
    <n v="18"/>
    <x v="1"/>
    <x v="1"/>
    <n v="5"/>
  </r>
  <r>
    <s v="CUST-20291"/>
    <s v="Northstar Technologies"/>
    <x v="0"/>
    <s v="Morgan Davis"/>
    <s v="Healthcare"/>
    <x v="1"/>
    <x v="1"/>
    <d v="2024-06-08T00:00:00"/>
    <n v="475"/>
    <n v="70"/>
    <x v="1"/>
    <x v="1"/>
    <n v="5"/>
  </r>
  <r>
    <s v="CUST-20292"/>
    <s v="Brighton Enterprises"/>
    <x v="3"/>
    <s v="Casey Brown"/>
    <s v="Manufacturing"/>
    <x v="3"/>
    <x v="2"/>
    <d v="2025-07-26T00:00:00"/>
    <n v="250"/>
    <n v="13"/>
    <x v="0"/>
    <x v="1"/>
    <n v="4"/>
  </r>
  <r>
    <s v="CUST-20293"/>
    <s v="Clearwater Partners"/>
    <x v="0"/>
    <s v="Casey Brown"/>
    <s v="Logistics"/>
    <x v="1"/>
    <x v="0"/>
    <d v="2026-03-12T00:00:00"/>
    <n v="1000"/>
    <n v="66"/>
    <x v="1"/>
    <x v="1"/>
    <n v="2"/>
  </r>
  <r>
    <s v="CUST-20294"/>
    <s v="Summit Systems"/>
    <x v="0"/>
    <s v="Alex Johnson"/>
    <s v="Logistics"/>
    <x v="2"/>
    <x v="1"/>
    <d v="2026-06-18T00:00:00"/>
    <n v="255"/>
    <n v="11"/>
    <x v="1"/>
    <x v="0"/>
    <n v="3"/>
  </r>
  <r>
    <s v="CUST-20295"/>
    <s v="Metro Services"/>
    <x v="2"/>
    <s v="Riley Wilson"/>
    <s v="Technology"/>
    <x v="2"/>
    <x v="0"/>
    <d v="2026-04-01T00:00:00"/>
    <n v="215"/>
    <n v="4"/>
    <x v="1"/>
    <x v="0"/>
    <n v="5"/>
  </r>
  <r>
    <s v="CUST-20296"/>
    <s v="Redwood Enterprises"/>
    <x v="1"/>
    <s v="Taylor Smith"/>
    <s v="Manufacturing"/>
    <x v="3"/>
    <x v="0"/>
    <d v="2025-02-21T00:00:00"/>
    <n v="130"/>
    <n v="1"/>
    <x v="1"/>
    <x v="0"/>
    <n v="3"/>
  </r>
  <r>
    <s v="CUST-20297"/>
    <s v="Lakeview Manufacturing"/>
    <x v="0"/>
    <s v="Riley Wilson"/>
    <s v="Manufacturing"/>
    <x v="3"/>
    <x v="2"/>
    <d v="2024-01-29T00:00:00"/>
    <n v="330"/>
    <n v="14"/>
    <x v="0"/>
    <x v="2"/>
    <n v="3"/>
  </r>
  <r>
    <s v="CUST-20298"/>
    <s v="Evergreen Solutions"/>
    <x v="0"/>
    <s v="Casey Brown"/>
    <s v="Logistics"/>
    <x v="4"/>
    <x v="1"/>
    <d v="2025-06-02T00:00:00"/>
    <n v="400"/>
    <n v="25"/>
    <x v="0"/>
    <x v="2"/>
    <n v="2"/>
  </r>
  <r>
    <s v="CUST-20299"/>
    <s v="Evergreen Logistics"/>
    <x v="2"/>
    <s v="Casey Brown"/>
    <s v="Healthcare"/>
    <x v="2"/>
    <x v="1"/>
    <d v="2025-12-20T00:00:00"/>
    <n v="200"/>
    <n v="6"/>
    <x v="1"/>
    <x v="1"/>
    <n v="3"/>
  </r>
  <r>
    <s v="CUST-20300"/>
    <s v="Metro Solutions"/>
    <x v="1"/>
    <s v="Alex Johnson"/>
    <s v="Logistics"/>
    <x v="2"/>
    <x v="0"/>
    <d v="2025-02-01T00:00:00"/>
    <n v="520"/>
    <n v="25"/>
    <x v="1"/>
    <x v="1"/>
    <n v="4"/>
  </r>
  <r>
    <s v="CUST-20301"/>
    <s v="Northstar Services"/>
    <x v="3"/>
    <s v="Taylor Smith"/>
    <s v="Financial Services"/>
    <x v="0"/>
    <x v="2"/>
    <d v="2024-02-28T00:00:00"/>
    <n v="830"/>
    <n v="62"/>
    <x v="1"/>
    <x v="1"/>
    <n v="5"/>
  </r>
  <r>
    <s v="CUST-20302"/>
    <s v="Stonebridge Logistics"/>
    <x v="2"/>
    <s v="Casey Brown"/>
    <s v="Technology"/>
    <x v="1"/>
    <x v="1"/>
    <d v="2024-09-01T00:00:00"/>
    <n v="170"/>
    <n v="3"/>
    <x v="1"/>
    <x v="2"/>
    <n v="5"/>
  </r>
  <r>
    <s v="CUST-20303"/>
    <s v="Prairie Industries"/>
    <x v="0"/>
    <s v="Taylor Smith"/>
    <s v="Healthcare"/>
    <x v="0"/>
    <x v="1"/>
    <d v="2026-05-09T00:00:00"/>
    <n v="595"/>
    <n v="29"/>
    <x v="1"/>
    <x v="0"/>
    <n v="5"/>
  </r>
  <r>
    <s v="CUST-20304"/>
    <s v="Riverside Services"/>
    <x v="3"/>
    <s v="Taylor Smith"/>
    <s v="Retail"/>
    <x v="3"/>
    <x v="0"/>
    <d v="2025-11-27T00:00:00"/>
    <n v="200"/>
    <n v="15"/>
    <x v="1"/>
    <x v="2"/>
    <n v="3"/>
  </r>
  <r>
    <s v="CUST-20305"/>
    <s v="Prairie Industries"/>
    <x v="1"/>
    <s v="Jordan Lee"/>
    <s v="Healthcare"/>
    <x v="4"/>
    <x v="0"/>
    <d v="2026-01-29T00:00:00"/>
    <n v="190"/>
    <n v="2"/>
    <x v="1"/>
    <x v="0"/>
    <n v="2"/>
  </r>
  <r>
    <s v="CUST-20306"/>
    <s v="Summit Systems"/>
    <x v="2"/>
    <s v="Taylor Smith"/>
    <s v="Healthcare"/>
    <x v="2"/>
    <x v="0"/>
    <d v="2026-01-11T00:00:00"/>
    <n v="425"/>
    <n v="16"/>
    <x v="1"/>
    <x v="1"/>
    <n v="4"/>
  </r>
  <r>
    <s v="CUST-20307"/>
    <s v="Riverside Services"/>
    <x v="3"/>
    <s v="Riley Wilson"/>
    <s v="Healthcare"/>
    <x v="0"/>
    <x v="0"/>
    <d v="2024-01-14T00:00:00"/>
    <n v="555"/>
    <n v="35"/>
    <x v="1"/>
    <x v="1"/>
    <n v="3"/>
  </r>
  <r>
    <s v="CUST-20308"/>
    <s v="Prairie Partners"/>
    <x v="1"/>
    <s v="Casey Brown"/>
    <s v="Healthcare"/>
    <x v="4"/>
    <x v="1"/>
    <d v="2026-01-19T00:00:00"/>
    <n v="280"/>
    <n v="17"/>
    <x v="1"/>
    <x v="1"/>
    <n v="4"/>
  </r>
  <r>
    <s v="CUST-20309"/>
    <s v="Horizon Services"/>
    <x v="3"/>
    <s v="Alex Johnson"/>
    <s v="Healthcare"/>
    <x v="1"/>
    <x v="2"/>
    <d v="2024-05-02T00:00:00"/>
    <n v="690"/>
    <n v="50"/>
    <x v="1"/>
    <x v="0"/>
    <n v="2"/>
  </r>
  <r>
    <s v="CUST-20310"/>
    <s v="Redwood Enterprises"/>
    <x v="0"/>
    <s v="Alex Johnson"/>
    <s v="Logistics"/>
    <x v="4"/>
    <x v="2"/>
    <d v="2026-06-15T00:00:00"/>
    <n v="510"/>
    <n v="23"/>
    <x v="1"/>
    <x v="1"/>
    <n v="4"/>
  </r>
  <r>
    <s v="CUST-20311"/>
    <s v="Highland Technologies"/>
    <x v="1"/>
    <s v="Riley Wilson"/>
    <s v="Technology"/>
    <x v="2"/>
    <x v="1"/>
    <d v="2024-01-10T00:00:00"/>
    <n v="310"/>
    <n v="22"/>
    <x v="1"/>
    <x v="0"/>
    <n v="5"/>
  </r>
  <r>
    <s v="CUST-20312"/>
    <s v="Horizon Partners"/>
    <x v="1"/>
    <s v="Riley Wilson"/>
    <s v="Retail"/>
    <x v="0"/>
    <x v="2"/>
    <d v="2024-12-11T00:00:00"/>
    <n v="500"/>
    <n v="21"/>
    <x v="1"/>
    <x v="1"/>
    <n v="3"/>
  </r>
  <r>
    <s v="CUST-20313"/>
    <s v="Granite Partners"/>
    <x v="0"/>
    <s v="Casey Brown"/>
    <s v="Retail"/>
    <x v="2"/>
    <x v="0"/>
    <d v="2025-03-17T00:00:00"/>
    <n v="385"/>
    <n v="23"/>
    <x v="1"/>
    <x v="0"/>
    <n v="5"/>
  </r>
  <r>
    <s v="CUST-20314"/>
    <s v="Silverline Industries"/>
    <x v="0"/>
    <s v="Riley Wilson"/>
    <s v="Healthcare"/>
    <x v="2"/>
    <x v="1"/>
    <d v="2025-10-16T00:00:00"/>
    <n v="255"/>
    <n v="20"/>
    <x v="1"/>
    <x v="0"/>
    <n v="3"/>
  </r>
  <r>
    <s v="CUST-20315"/>
    <s v="Oakridge Logistics"/>
    <x v="3"/>
    <s v="Casey Brown"/>
    <s v="Financial Services"/>
    <x v="3"/>
    <x v="1"/>
    <d v="2025-03-02T00:00:00"/>
    <n v="225"/>
    <n v="24"/>
    <x v="1"/>
    <x v="1"/>
    <n v="4"/>
  </r>
  <r>
    <s v="CUST-20316"/>
    <s v="Parkway Industries"/>
    <x v="0"/>
    <s v="Jordan Lee"/>
    <s v="Retail"/>
    <x v="1"/>
    <x v="0"/>
    <d v="2024-01-19T00:00:00"/>
    <n v="1340"/>
    <n v="63"/>
    <x v="1"/>
    <x v="1"/>
    <n v="3"/>
  </r>
  <r>
    <s v="CUST-20317"/>
    <s v="Cedar Solutions"/>
    <x v="0"/>
    <s v="Casey Brown"/>
    <s v="Retail"/>
    <x v="2"/>
    <x v="2"/>
    <d v="2026-05-17T00:00:00"/>
    <n v="520"/>
    <n v="24"/>
    <x v="1"/>
    <x v="2"/>
    <n v="3"/>
  </r>
  <r>
    <s v="CUST-20318"/>
    <s v="Evergreen Manufacturing"/>
    <x v="1"/>
    <s v="Jordan Lee"/>
    <s v="Technology"/>
    <x v="3"/>
    <x v="1"/>
    <d v="2024-10-11T00:00:00"/>
    <n v="500"/>
    <n v="25"/>
    <x v="1"/>
    <x v="1"/>
    <n v="3"/>
  </r>
  <r>
    <s v="CUST-20319"/>
    <s v="Parkway Enterprises"/>
    <x v="3"/>
    <s v="Morgan Davis"/>
    <s v="Retail"/>
    <x v="0"/>
    <x v="2"/>
    <d v="2026-03-09T00:00:00"/>
    <n v="550"/>
    <n v="26"/>
    <x v="0"/>
    <x v="0"/>
    <n v="5"/>
  </r>
  <r>
    <s v="CUST-20320"/>
    <s v="Lakeview Group"/>
    <x v="0"/>
    <s v="Morgan Davis"/>
    <s v="Logistics"/>
    <x v="0"/>
    <x v="0"/>
    <d v="2024-01-04T00:00:00"/>
    <n v="635"/>
    <n v="28"/>
    <x v="1"/>
    <x v="1"/>
    <n v="2"/>
  </r>
  <r>
    <s v="CUST-20321"/>
    <s v="Redwood Partners"/>
    <x v="1"/>
    <s v="Morgan Davis"/>
    <s v="Logistics"/>
    <x v="1"/>
    <x v="0"/>
    <d v="2025-02-13T00:00:00"/>
    <n v="750"/>
    <n v="63"/>
    <x v="1"/>
    <x v="1"/>
    <n v="4"/>
  </r>
  <r>
    <s v="CUST-20322"/>
    <s v="Prairie Partners"/>
    <x v="3"/>
    <s v="Casey Brown"/>
    <s v="Logistics"/>
    <x v="1"/>
    <x v="1"/>
    <d v="2024-07-25T00:00:00"/>
    <n v="760"/>
    <n v="71"/>
    <x v="1"/>
    <x v="1"/>
    <n v="4"/>
  </r>
  <r>
    <s v="CUST-20323"/>
    <s v="Silverline Logistics"/>
    <x v="2"/>
    <s v="Riley Wilson"/>
    <s v="Financial Services"/>
    <x v="1"/>
    <x v="0"/>
    <d v="2025-06-15T00:00:00"/>
    <n v="580"/>
    <n v="42"/>
    <x v="1"/>
    <x v="1"/>
    <n v="5"/>
  </r>
  <r>
    <s v="CUST-20324"/>
    <s v="Brighton Manufacturing"/>
    <x v="0"/>
    <s v="Casey Brown"/>
    <s v="Manufacturing"/>
    <x v="1"/>
    <x v="0"/>
    <d v="2025-12-20T00:00:00"/>
    <n v="1195"/>
    <n v="60"/>
    <x v="1"/>
    <x v="0"/>
    <n v="4"/>
  </r>
  <r>
    <s v="CUST-20325"/>
    <s v="Pioneer Systems"/>
    <x v="2"/>
    <s v="Jordan Lee"/>
    <s v="Retail"/>
    <x v="4"/>
    <x v="2"/>
    <d v="2025-08-06T00:00:00"/>
    <n v="445"/>
    <n v="15"/>
    <x v="1"/>
    <x v="2"/>
    <n v="4"/>
  </r>
  <r>
    <s v="CUST-20326"/>
    <s v="Oakridge Solutions"/>
    <x v="3"/>
    <s v="Jordan Lee"/>
    <s v="Logistics"/>
    <x v="3"/>
    <x v="0"/>
    <d v="2025-03-12T00:00:00"/>
    <n v="290"/>
    <n v="11"/>
    <x v="1"/>
    <x v="0"/>
    <n v="4"/>
  </r>
  <r>
    <s v="CUST-20327"/>
    <s v="Summit Services"/>
    <x v="3"/>
    <s v="Taylor Smith"/>
    <s v="Healthcare"/>
    <x v="2"/>
    <x v="1"/>
    <d v="2024-01-11T00:00:00"/>
    <n v="530"/>
    <n v="25"/>
    <x v="1"/>
    <x v="1"/>
    <n v="3"/>
  </r>
  <r>
    <s v="CUST-20328"/>
    <s v="BlueRiver Industries"/>
    <x v="1"/>
    <s v="Jordan Lee"/>
    <s v="Technology"/>
    <x v="4"/>
    <x v="2"/>
    <d v="2025-07-25T00:00:00"/>
    <n v="410"/>
    <n v="16"/>
    <x v="1"/>
    <x v="1"/>
    <n v="4"/>
  </r>
  <r>
    <s v="CUST-20329"/>
    <s v="Prairie Industries"/>
    <x v="3"/>
    <s v="Morgan Davis"/>
    <s v="Retail"/>
    <x v="1"/>
    <x v="2"/>
    <d v="2025-12-07T00:00:00"/>
    <n v="395"/>
    <n v="4"/>
    <x v="1"/>
    <x v="1"/>
    <n v="4"/>
  </r>
  <r>
    <s v="CUST-20330"/>
    <s v="Stonebridge Partners"/>
    <x v="0"/>
    <s v="Riley Wilson"/>
    <s v="Retail"/>
    <x v="2"/>
    <x v="2"/>
    <d v="2024-07-03T00:00:00"/>
    <n v="475"/>
    <n v="19"/>
    <x v="0"/>
    <x v="2"/>
    <n v="5"/>
  </r>
  <r>
    <s v="CUST-20331"/>
    <s v="Clearwater Partners"/>
    <x v="0"/>
    <s v="Morgan Davis"/>
    <s v="Financial Services"/>
    <x v="4"/>
    <x v="2"/>
    <d v="2024-11-02T00:00:00"/>
    <n v="570"/>
    <n v="18"/>
    <x v="1"/>
    <x v="0"/>
    <n v="3"/>
  </r>
  <r>
    <s v="CUST-20332"/>
    <s v="Stonebridge Enterprises"/>
    <x v="2"/>
    <s v="Morgan Davis"/>
    <s v="Retail"/>
    <x v="1"/>
    <x v="1"/>
    <d v="2026-06-07T00:00:00"/>
    <n v="795"/>
    <n v="47"/>
    <x v="1"/>
    <x v="1"/>
    <n v="3"/>
  </r>
  <r>
    <s v="CUST-20333"/>
    <s v="Horizon Partners"/>
    <x v="3"/>
    <s v="Riley Wilson"/>
    <s v="Technology"/>
    <x v="1"/>
    <x v="1"/>
    <d v="2024-06-27T00:00:00"/>
    <n v="640"/>
    <n v="54"/>
    <x v="1"/>
    <x v="1"/>
    <n v="5"/>
  </r>
  <r>
    <s v="CUST-20334"/>
    <s v="Summit Solutions"/>
    <x v="1"/>
    <s v="Casey Brown"/>
    <s v="Technology"/>
    <x v="0"/>
    <x v="1"/>
    <d v="2025-06-18T00:00:00"/>
    <n v="240"/>
    <n v="25"/>
    <x v="1"/>
    <x v="1"/>
    <n v="2"/>
  </r>
  <r>
    <s v="CUST-20335"/>
    <s v="BlueRiver Enterprises"/>
    <x v="3"/>
    <s v="Jordan Lee"/>
    <s v="Retail"/>
    <x v="4"/>
    <x v="2"/>
    <d v="2025-08-15T00:00:00"/>
    <n v="385"/>
    <n v="13"/>
    <x v="1"/>
    <x v="1"/>
    <n v="4"/>
  </r>
  <r>
    <s v="CUST-20336"/>
    <s v="Brighton Enterprises"/>
    <x v="2"/>
    <s v="Riley Wilson"/>
    <s v="Retail"/>
    <x v="0"/>
    <x v="0"/>
    <d v="2026-05-03T00:00:00"/>
    <n v="715"/>
    <n v="33"/>
    <x v="0"/>
    <x v="2"/>
    <n v="3"/>
  </r>
  <r>
    <s v="CUST-20337"/>
    <s v="Summit Group"/>
    <x v="2"/>
    <s v="Alex Johnson"/>
    <s v="Logistics"/>
    <x v="1"/>
    <x v="1"/>
    <d v="2024-05-23T00:00:00"/>
    <n v="945"/>
    <n v="58"/>
    <x v="1"/>
    <x v="1"/>
    <n v="5"/>
  </r>
  <r>
    <s v="CUST-20338"/>
    <s v="Cedar Enterprises"/>
    <x v="0"/>
    <s v="Taylor Smith"/>
    <s v="Financial Services"/>
    <x v="2"/>
    <x v="1"/>
    <d v="2026-06-18T00:00:00"/>
    <n v="185"/>
    <n v="14"/>
    <x v="1"/>
    <x v="1"/>
    <n v="2"/>
  </r>
  <r>
    <s v="CUST-20339"/>
    <s v="Granite Solutions"/>
    <x v="3"/>
    <s v="Casey Brown"/>
    <s v="Healthcare"/>
    <x v="3"/>
    <x v="2"/>
    <d v="2024-03-28T00:00:00"/>
    <n v="440"/>
    <n v="25"/>
    <x v="0"/>
    <x v="1"/>
    <n v="4"/>
  </r>
  <r>
    <s v="CUST-20340"/>
    <s v="Stonebridge Systems"/>
    <x v="1"/>
    <s v="Alex Johnson"/>
    <s v="Manufacturing"/>
    <x v="1"/>
    <x v="1"/>
    <d v="2025-11-07T00:00:00"/>
    <n v="375"/>
    <n v="25"/>
    <x v="0"/>
    <x v="1"/>
    <n v="4"/>
  </r>
  <r>
    <s v="CUST-20341"/>
    <s v="Metro Partners"/>
    <x v="0"/>
    <s v="Jordan Lee"/>
    <s v="Retail"/>
    <x v="1"/>
    <x v="2"/>
    <d v="2026-03-09T00:00:00"/>
    <n v="1570"/>
    <n v="78"/>
    <x v="1"/>
    <x v="1"/>
    <n v="4"/>
  </r>
  <r>
    <s v="CUST-20342"/>
    <s v="Evergreen Partners"/>
    <x v="3"/>
    <s v="Morgan Davis"/>
    <s v="Manufacturing"/>
    <x v="4"/>
    <x v="0"/>
    <d v="2026-02-04T00:00:00"/>
    <n v="245"/>
    <n v="13"/>
    <x v="1"/>
    <x v="1"/>
    <n v="5"/>
  </r>
  <r>
    <s v="CUST-20343"/>
    <s v="Riverside Logistics"/>
    <x v="2"/>
    <s v="Morgan Davis"/>
    <s v="Logistics"/>
    <x v="4"/>
    <x v="2"/>
    <d v="2025-02-19T00:00:00"/>
    <n v="295"/>
    <n v="3"/>
    <x v="0"/>
    <x v="0"/>
    <n v="3"/>
  </r>
  <r>
    <s v="CUST-20344"/>
    <s v="Redwood Systems"/>
    <x v="2"/>
    <s v="Morgan Davis"/>
    <s v="Manufacturing"/>
    <x v="4"/>
    <x v="0"/>
    <d v="2026-04-23T00:00:00"/>
    <n v="260"/>
    <n v="6"/>
    <x v="1"/>
    <x v="1"/>
    <n v="3"/>
  </r>
  <r>
    <s v="CUST-20345"/>
    <s v="Silverline Systems"/>
    <x v="3"/>
    <s v="Taylor Smith"/>
    <s v="Retail"/>
    <x v="4"/>
    <x v="2"/>
    <d v="2024-01-15T00:00:00"/>
    <n v="370"/>
    <n v="7"/>
    <x v="1"/>
    <x v="1"/>
    <n v="4"/>
  </r>
  <r>
    <s v="CUST-20346"/>
    <s v="Cedar Industries"/>
    <x v="2"/>
    <s v="Riley Wilson"/>
    <s v="Retail"/>
    <x v="2"/>
    <x v="1"/>
    <d v="2024-06-08T00:00:00"/>
    <n v="470"/>
    <n v="21"/>
    <x v="0"/>
    <x v="2"/>
    <n v="4"/>
  </r>
  <r>
    <s v="CUST-20347"/>
    <s v="Clearwater Partners"/>
    <x v="2"/>
    <s v="Taylor Smith"/>
    <s v="Retail"/>
    <x v="0"/>
    <x v="0"/>
    <d v="2024-01-22T00:00:00"/>
    <n v="495"/>
    <n v="27"/>
    <x v="1"/>
    <x v="1"/>
    <n v="5"/>
  </r>
  <r>
    <s v="CUST-20348"/>
    <s v="Silverline Group"/>
    <x v="1"/>
    <s v="Alex Johnson"/>
    <s v="Technology"/>
    <x v="4"/>
    <x v="0"/>
    <d v="2024-11-27T00:00:00"/>
    <n v="190"/>
    <n v="4"/>
    <x v="1"/>
    <x v="1"/>
    <n v="3"/>
  </r>
  <r>
    <s v="CUST-20349"/>
    <s v="Stonebridge Enterprises"/>
    <x v="2"/>
    <s v="Riley Wilson"/>
    <s v="Healthcare"/>
    <x v="4"/>
    <x v="1"/>
    <d v="2026-01-08T00:00:00"/>
    <n v="290"/>
    <n v="22"/>
    <x v="0"/>
    <x v="0"/>
    <n v="4"/>
  </r>
  <r>
    <s v="CUST-20350"/>
    <s v="Northstar Group"/>
    <x v="0"/>
    <s v="Morgan Davis"/>
    <s v="Technology"/>
    <x v="4"/>
    <x v="0"/>
    <d v="2024-03-26T00:00:00"/>
    <n v="285"/>
    <n v="8"/>
    <x v="0"/>
    <x v="1"/>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E36BC-DCEB-4B7F-A990-789B3DD8008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1:B6" firstHeaderRow="1" firstDataRow="1" firstDataCol="1"/>
  <pivotFields count="13">
    <pivotField dataField="1" showAll="0"/>
    <pivotField showAll="0"/>
    <pivotField axis="axisRow" showAll="0">
      <items count="5">
        <item x="0"/>
        <item x="2"/>
        <item x="1"/>
        <item x="3"/>
        <item t="default"/>
      </items>
    </pivotField>
    <pivotField showAll="0"/>
    <pivotField showAll="0"/>
    <pivotField showAll="0"/>
    <pivotField showAll="0">
      <items count="4">
        <item x="0"/>
        <item x="1"/>
        <item x="2"/>
        <item t="default"/>
      </items>
    </pivotField>
    <pivotField numFmtId="164" showAll="0"/>
    <pivotField numFmtId="165" showAll="0"/>
    <pivotField showAll="0"/>
    <pivotField showAll="0"/>
    <pivotField showAll="0"/>
    <pivotField showAll="0"/>
  </pivotFields>
  <rowFields count="1">
    <field x="2"/>
  </rowFields>
  <rowItems count="5">
    <i>
      <x/>
    </i>
    <i>
      <x v="1"/>
    </i>
    <i>
      <x v="2"/>
    </i>
    <i>
      <x v="3"/>
    </i>
    <i t="grand">
      <x/>
    </i>
  </rowItems>
  <colItems count="1">
    <i/>
  </colItems>
  <dataFields count="1">
    <dataField name="Number of C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DE7D4D-1698-4711-807D-CE1A8B4836A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ervice Type">
  <location ref="A10:B16" firstHeaderRow="1" firstDataRow="1" firstDataCol="1"/>
  <pivotFields count="13">
    <pivotField showAll="0"/>
    <pivotField showAll="0"/>
    <pivotField showAll="0">
      <items count="5">
        <item x="0"/>
        <item x="2"/>
        <item x="1"/>
        <item x="3"/>
        <item t="default"/>
      </items>
    </pivotField>
    <pivotField showAll="0"/>
    <pivotField showAll="0"/>
    <pivotField axis="axisRow" showAll="0" sortType="ascending">
      <items count="6">
        <item x="2"/>
        <item x="0"/>
        <item x="4"/>
        <item x="3"/>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numFmtId="164" showAll="0"/>
    <pivotField numFmtId="165" showAll="0"/>
    <pivotField showAll="0"/>
    <pivotField showAll="0"/>
    <pivotField showAll="0"/>
    <pivotField dataField="1" showAll="0"/>
  </pivotFields>
  <rowFields count="1">
    <field x="5"/>
  </rowFields>
  <rowItems count="6">
    <i>
      <x/>
    </i>
    <i>
      <x v="1"/>
    </i>
    <i>
      <x v="3"/>
    </i>
    <i>
      <x v="2"/>
    </i>
    <i>
      <x v="4"/>
    </i>
    <i t="grand">
      <x/>
    </i>
  </rowItems>
  <colItems count="1">
    <i/>
  </colItems>
  <dataFields count="1">
    <dataField name="Average Satisfaction Score" fld="12" subtotal="average" baseField="5"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A5D8BB-6E81-4B3E-BCAA-17664E57243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Status">
  <location ref="K1:N5" firstHeaderRow="0" firstDataRow="1" firstDataCol="1"/>
  <pivotFields count="13">
    <pivotField dataField="1" showAll="0"/>
    <pivotField showAll="0"/>
    <pivotField showAll="0">
      <items count="5">
        <item x="0"/>
        <item x="2"/>
        <item x="1"/>
        <item x="3"/>
        <item t="default"/>
      </items>
    </pivotField>
    <pivotField showAll="0"/>
    <pivotField showAll="0"/>
    <pivotField showAll="0"/>
    <pivotField showAll="0">
      <items count="4">
        <item x="0"/>
        <item x="1"/>
        <item x="2"/>
        <item t="default"/>
      </items>
    </pivotField>
    <pivotField numFmtId="164" showAll="0"/>
    <pivotField dataField="1" numFmtId="165" showAll="0"/>
    <pivotField showAll="0"/>
    <pivotField showAll="0"/>
    <pivotField axis="axisRow" showAll="0">
      <items count="4">
        <item x="0"/>
        <item x="1"/>
        <item x="2"/>
        <item t="default"/>
      </items>
    </pivotField>
    <pivotField showAll="0"/>
  </pivotFields>
  <rowFields count="1">
    <field x="11"/>
  </rowFields>
  <rowItems count="4">
    <i>
      <x/>
    </i>
    <i>
      <x v="1"/>
    </i>
    <i>
      <x v="2"/>
    </i>
    <i t="grand">
      <x/>
    </i>
  </rowItems>
  <colFields count="1">
    <field x="-2"/>
  </colFields>
  <colItems count="3">
    <i>
      <x/>
    </i>
    <i i="1">
      <x v="1"/>
    </i>
    <i i="2">
      <x v="2"/>
    </i>
  </colItems>
  <dataFields count="3">
    <dataField name="Number of Customers" fld="0" subtotal="count" baseField="0" baseItem="0"/>
    <dataField name="Monthly Revenue" fld="8" baseField="0" baseItem="0" numFmtId="165"/>
    <dataField name="% of customers" fld="0" subtotal="count" showDataAs="percentOfTotal" baseField="1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3696BF-7AB3-4BC6-BF45-2F3D8183BF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lan">
  <location ref="G1:H5" firstHeaderRow="1" firstDataRow="1" firstDataCol="1"/>
  <pivotFields count="13">
    <pivotField showAll="0"/>
    <pivotField showAll="0"/>
    <pivotField showAll="0">
      <items count="5">
        <item x="0"/>
        <item x="2"/>
        <item x="1"/>
        <item x="3"/>
        <item t="default"/>
      </items>
    </pivotField>
    <pivotField showAll="0"/>
    <pivotField showAll="0"/>
    <pivotField showAll="0"/>
    <pivotField axis="axisRow" showAll="0">
      <items count="4">
        <item x="0"/>
        <item x="1"/>
        <item x="2"/>
        <item t="default"/>
      </items>
    </pivotField>
    <pivotField numFmtId="164" showAll="0"/>
    <pivotField dataField="1" numFmtId="165" showAll="0"/>
    <pivotField showAll="0"/>
    <pivotField showAll="0"/>
    <pivotField showAll="0"/>
    <pivotField showAll="0"/>
  </pivotFields>
  <rowFields count="1">
    <field x="6"/>
  </rowFields>
  <rowItems count="4">
    <i>
      <x/>
    </i>
    <i>
      <x v="1"/>
    </i>
    <i>
      <x v="2"/>
    </i>
    <i t="grand">
      <x/>
    </i>
  </rowItems>
  <colItems count="1">
    <i/>
  </colItems>
  <dataFields count="1">
    <dataField name="Monthly Revenue" fld="8" baseField="0" baseItem="0" numFmtId="165"/>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18D457-6CA4-48AB-9A3A-3D16D7BF1D3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ervice Type">
  <location ref="D1:E7" firstHeaderRow="1" firstDataRow="1" firstDataCol="1"/>
  <pivotFields count="13">
    <pivotField showAll="0"/>
    <pivotField showAll="0"/>
    <pivotField showAll="0">
      <items count="5">
        <item x="0"/>
        <item x="2"/>
        <item x="1"/>
        <item x="3"/>
        <item t="default"/>
      </items>
    </pivotField>
    <pivotField showAll="0"/>
    <pivotField showAll="0"/>
    <pivotField axis="axisRow" showAll="0" sortType="ascending">
      <items count="6">
        <item x="2"/>
        <item x="0"/>
        <item x="4"/>
        <item x="3"/>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numFmtId="164" showAll="0"/>
    <pivotField dataField="1" numFmtId="165" showAll="0"/>
    <pivotField showAll="0"/>
    <pivotField showAll="0"/>
    <pivotField showAll="0"/>
    <pivotField showAll="0"/>
  </pivotFields>
  <rowFields count="1">
    <field x="5"/>
  </rowFields>
  <rowItems count="6">
    <i>
      <x v="3"/>
    </i>
    <i>
      <x v="2"/>
    </i>
    <i>
      <x/>
    </i>
    <i>
      <x v="1"/>
    </i>
    <i>
      <x v="4"/>
    </i>
    <i t="grand">
      <x/>
    </i>
  </rowItems>
  <colItems count="1">
    <i/>
  </colItems>
  <dataFields count="1">
    <dataField name="Monthly Revenue" fld="8"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5EA69A-F79A-4F6B-BF78-ACB9A0E4875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I10:J15" firstHeaderRow="1" firstDataRow="1" firstDataCol="1"/>
  <pivotFields count="13">
    <pivotField showAll="0"/>
    <pivotField showAll="0"/>
    <pivotField axis="axisRow" showAll="0">
      <items count="5">
        <item x="0"/>
        <item x="2"/>
        <item x="1"/>
        <item x="3"/>
        <item t="default"/>
      </items>
    </pivotField>
    <pivotField showAll="0"/>
    <pivotField showAll="0"/>
    <pivotField showAll="0"/>
    <pivotField showAll="0"/>
    <pivotField numFmtId="164" showAll="0"/>
    <pivotField dataField="1" numFmtId="165" showAll="0"/>
    <pivotField showAll="0"/>
    <pivotField showAll="0"/>
    <pivotField showAll="0"/>
    <pivotField showAll="0"/>
  </pivotFields>
  <rowFields count="1">
    <field x="2"/>
  </rowFields>
  <rowItems count="5">
    <i>
      <x/>
    </i>
    <i>
      <x v="1"/>
    </i>
    <i>
      <x v="2"/>
    </i>
    <i>
      <x v="3"/>
    </i>
    <i t="grand">
      <x/>
    </i>
  </rowItems>
  <colItems count="1">
    <i/>
  </colItems>
  <dataFields count="1">
    <dataField name="Monthly Revenue" fld="8" baseField="0" baseItem="0" numFmtId="165"/>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60205E-2D5F-47DB-A3A2-3BD18488A36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tatus">
  <location ref="D10:G13" firstHeaderRow="0" firstDataRow="1" firstDataCol="1"/>
  <pivotFields count="13">
    <pivotField dataField="1" showAll="0"/>
    <pivotField showAll="0"/>
    <pivotField showAll="0">
      <items count="5">
        <item x="0"/>
        <item x="2"/>
        <item x="1"/>
        <item x="3"/>
        <item t="default"/>
      </items>
    </pivotField>
    <pivotField showAll="0"/>
    <pivotField showAll="0"/>
    <pivotField showAll="0"/>
    <pivotField showAll="0">
      <items count="4">
        <item x="0"/>
        <item x="1"/>
        <item x="2"/>
        <item t="default"/>
      </items>
    </pivotField>
    <pivotField numFmtId="164" showAll="0"/>
    <pivotField dataField="1" numFmtId="165" showAll="0"/>
    <pivotField showAll="0"/>
    <pivotField axis="axisRow" showAll="0">
      <items count="3">
        <item x="1"/>
        <item x="0"/>
        <item t="default"/>
      </items>
    </pivotField>
    <pivotField showAll="0"/>
    <pivotField showAll="0"/>
  </pivotFields>
  <rowFields count="1">
    <field x="10"/>
  </rowFields>
  <rowItems count="3">
    <i>
      <x/>
    </i>
    <i>
      <x v="1"/>
    </i>
    <i t="grand">
      <x/>
    </i>
  </rowItems>
  <colFields count="1">
    <field x="-2"/>
  </colFields>
  <colItems count="3">
    <i>
      <x/>
    </i>
    <i i="1">
      <x v="1"/>
    </i>
    <i i="2">
      <x v="2"/>
    </i>
  </colItems>
  <dataFields count="3">
    <dataField name="Number of Customers" fld="0" subtotal="count" baseField="0" baseItem="0"/>
    <dataField name="Monthly revenue" fld="8" baseField="0" baseItem="0" numFmtId="165"/>
    <dataField name="% of Customers" fld="0" subtotal="count" showDataAs="percentOfTotal" baseField="1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4FCF4C-5DD2-4A97-9CD1-DF5748555FB2}" sourceName="Region">
  <pivotTables>
    <pivotTable tabId="4" name="PivotTable1"/>
    <pivotTable tabId="4" name="PivotTable3"/>
    <pivotTable tabId="4" name="PivotTable9"/>
    <pivotTable tabId="4" name="PivotTable2"/>
    <pivotTable tabId="4" name="PivotTable10"/>
    <pivotTable tabId="4" name="PivotTable4"/>
  </pivotTables>
  <data>
    <tabular pivotCacheId="301539235">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 xr10:uid="{E48F3CC4-9264-40D8-8BA7-925439E32A0E}" sourceName="Plan">
  <pivotTables>
    <pivotTable tabId="4" name="PivotTable2"/>
    <pivotTable tabId="4" name="PivotTable9"/>
    <pivotTable tabId="4" name="PivotTable1"/>
    <pivotTable tabId="4" name="PivotTable10"/>
    <pivotTable tabId="4" name="PivotTable4"/>
  </pivotTables>
  <data>
    <tabular pivotCacheId="30153923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C684E3C-DFD2-4E17-BF35-1225F17E1182}" cache="Slicer_Region" caption="Region" columnCount="4" rowHeight="234950"/>
  <slicer name="Plan" xr10:uid="{40E507DF-B7E4-4F09-891E-7FE7F20C96CA}" cache="Slicer_Plan" caption="Plan" columnCoun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17AA894-AEAC-4460-BDB7-7E636828AEC6}" cache="Slicer_Region" caption="Region" columnCount="4" style="SlicerStyleDark1" rowHeight="234950"/>
  <slicer name="Plan 1" xr10:uid="{F458A4B7-6A23-4060-80ED-3A3053B5858E}" cache="Slicer_Plan" caption="Plan" columnCount="3" style="SlicerStyleDark1" rowHeight="234950"/>
</slicer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51"/>
  <sheetViews>
    <sheetView workbookViewId="0">
      <selection activeCell="H3" sqref="H3"/>
    </sheetView>
  </sheetViews>
  <sheetFormatPr defaultRowHeight="13.8"/>
  <cols>
    <col min="1" max="1" width="15" customWidth="1"/>
    <col min="2" max="2" width="25" customWidth="1"/>
    <col min="3" max="3" width="13" customWidth="1"/>
    <col min="4" max="4" width="21" customWidth="1"/>
    <col min="5" max="5" width="20" customWidth="1"/>
    <col min="6" max="6" width="21" customWidth="1"/>
    <col min="7" max="7" width="16" customWidth="1"/>
    <col min="8" max="8" width="17" customWidth="1"/>
    <col min="9" max="12" width="16" customWidth="1"/>
    <col min="13" max="13" width="18"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535</v>
      </c>
      <c r="B2" t="s">
        <v>536</v>
      </c>
      <c r="C2" t="s">
        <v>15</v>
      </c>
      <c r="D2" t="s">
        <v>29</v>
      </c>
      <c r="E2" t="s">
        <v>17</v>
      </c>
      <c r="F2" t="s">
        <v>40</v>
      </c>
      <c r="G2" t="s">
        <v>31</v>
      </c>
      <c r="H2" s="2">
        <v>46191</v>
      </c>
      <c r="I2" s="3">
        <v>185</v>
      </c>
      <c r="J2">
        <v>14</v>
      </c>
      <c r="K2" t="s">
        <v>26</v>
      </c>
      <c r="L2" t="s">
        <v>32</v>
      </c>
      <c r="M2">
        <v>2</v>
      </c>
    </row>
    <row r="3" spans="1:13">
      <c r="A3" t="s">
        <v>483</v>
      </c>
      <c r="B3" t="s">
        <v>358</v>
      </c>
      <c r="C3" t="s">
        <v>15</v>
      </c>
      <c r="D3" t="s">
        <v>25</v>
      </c>
      <c r="E3" t="s">
        <v>88</v>
      </c>
      <c r="F3" t="s">
        <v>40</v>
      </c>
      <c r="G3" t="s">
        <v>31</v>
      </c>
      <c r="H3" s="2">
        <v>46191</v>
      </c>
      <c r="I3" s="3">
        <v>255</v>
      </c>
      <c r="J3">
        <v>11</v>
      </c>
      <c r="K3" t="s">
        <v>26</v>
      </c>
      <c r="L3" t="s">
        <v>21</v>
      </c>
      <c r="M3">
        <v>3</v>
      </c>
    </row>
    <row r="4" spans="1:13">
      <c r="A4" t="s">
        <v>499</v>
      </c>
      <c r="B4" t="s">
        <v>189</v>
      </c>
      <c r="C4" t="s">
        <v>15</v>
      </c>
      <c r="D4" t="s">
        <v>25</v>
      </c>
      <c r="E4" t="s">
        <v>88</v>
      </c>
      <c r="F4" t="s">
        <v>60</v>
      </c>
      <c r="G4" t="s">
        <v>41</v>
      </c>
      <c r="H4" s="2">
        <v>46188</v>
      </c>
      <c r="I4" s="3">
        <v>510</v>
      </c>
      <c r="J4">
        <v>23</v>
      </c>
      <c r="K4" t="s">
        <v>26</v>
      </c>
      <c r="L4" t="s">
        <v>32</v>
      </c>
      <c r="M4">
        <v>4</v>
      </c>
    </row>
    <row r="5" spans="1:13">
      <c r="A5" t="s">
        <v>225</v>
      </c>
      <c r="B5" t="s">
        <v>216</v>
      </c>
      <c r="C5" t="s">
        <v>24</v>
      </c>
      <c r="D5" t="s">
        <v>16</v>
      </c>
      <c r="E5" t="s">
        <v>53</v>
      </c>
      <c r="F5" t="s">
        <v>60</v>
      </c>
      <c r="G5" t="s">
        <v>31</v>
      </c>
      <c r="H5" s="2">
        <v>46187</v>
      </c>
      <c r="I5" s="3">
        <v>200</v>
      </c>
      <c r="J5">
        <v>20</v>
      </c>
      <c r="K5" t="s">
        <v>26</v>
      </c>
      <c r="L5" t="s">
        <v>32</v>
      </c>
      <c r="M5">
        <v>3</v>
      </c>
    </row>
    <row r="6" spans="1:13">
      <c r="A6" t="s">
        <v>325</v>
      </c>
      <c r="B6" t="s">
        <v>208</v>
      </c>
      <c r="C6" t="s">
        <v>24</v>
      </c>
      <c r="D6" t="s">
        <v>16</v>
      </c>
      <c r="E6" t="s">
        <v>30</v>
      </c>
      <c r="F6" t="s">
        <v>46</v>
      </c>
      <c r="G6" t="s">
        <v>19</v>
      </c>
      <c r="H6" s="2">
        <v>46187</v>
      </c>
      <c r="I6" s="3">
        <v>330</v>
      </c>
      <c r="J6">
        <v>13</v>
      </c>
      <c r="K6" t="s">
        <v>20</v>
      </c>
      <c r="L6" t="s">
        <v>32</v>
      </c>
      <c r="M6">
        <v>5</v>
      </c>
    </row>
    <row r="7" spans="1:13">
      <c r="A7" t="s">
        <v>422</v>
      </c>
      <c r="B7" t="s">
        <v>423</v>
      </c>
      <c r="C7" t="s">
        <v>15</v>
      </c>
      <c r="D7" t="s">
        <v>45</v>
      </c>
      <c r="E7" t="s">
        <v>56</v>
      </c>
      <c r="F7" t="s">
        <v>36</v>
      </c>
      <c r="G7" t="s">
        <v>19</v>
      </c>
      <c r="H7" s="2">
        <v>46181</v>
      </c>
      <c r="I7" s="3">
        <v>300</v>
      </c>
      <c r="J7">
        <v>8</v>
      </c>
      <c r="K7" t="s">
        <v>26</v>
      </c>
      <c r="L7" t="s">
        <v>32</v>
      </c>
      <c r="M7">
        <v>5</v>
      </c>
    </row>
    <row r="8" spans="1:13">
      <c r="A8" t="s">
        <v>364</v>
      </c>
      <c r="B8" t="s">
        <v>262</v>
      </c>
      <c r="C8" t="s">
        <v>44</v>
      </c>
      <c r="D8" t="s">
        <v>25</v>
      </c>
      <c r="E8" t="s">
        <v>39</v>
      </c>
      <c r="F8" t="s">
        <v>60</v>
      </c>
      <c r="G8" t="s">
        <v>19</v>
      </c>
      <c r="H8" s="2">
        <v>46180</v>
      </c>
      <c r="I8" s="3">
        <v>245</v>
      </c>
      <c r="J8">
        <v>13</v>
      </c>
      <c r="K8" t="s">
        <v>26</v>
      </c>
      <c r="L8" t="s">
        <v>32</v>
      </c>
      <c r="M8">
        <v>4</v>
      </c>
    </row>
    <row r="9" spans="1:13">
      <c r="A9" t="s">
        <v>435</v>
      </c>
      <c r="B9" t="s">
        <v>436</v>
      </c>
      <c r="C9" t="s">
        <v>35</v>
      </c>
      <c r="D9" t="s">
        <v>45</v>
      </c>
      <c r="E9" t="s">
        <v>56</v>
      </c>
      <c r="F9" t="s">
        <v>60</v>
      </c>
      <c r="G9" t="s">
        <v>31</v>
      </c>
      <c r="H9" s="2">
        <v>46180</v>
      </c>
      <c r="I9" s="3">
        <v>335</v>
      </c>
      <c r="J9">
        <v>21</v>
      </c>
      <c r="K9" t="s">
        <v>20</v>
      </c>
      <c r="L9" t="s">
        <v>50</v>
      </c>
      <c r="M9">
        <v>5</v>
      </c>
    </row>
    <row r="10" spans="1:13">
      <c r="A10" t="s">
        <v>394</v>
      </c>
      <c r="B10" t="s">
        <v>395</v>
      </c>
      <c r="C10" t="s">
        <v>24</v>
      </c>
      <c r="D10" t="s">
        <v>45</v>
      </c>
      <c r="E10" t="s">
        <v>56</v>
      </c>
      <c r="F10" t="s">
        <v>18</v>
      </c>
      <c r="G10" t="s">
        <v>41</v>
      </c>
      <c r="H10" s="2">
        <v>46180</v>
      </c>
      <c r="I10" s="3">
        <v>690</v>
      </c>
      <c r="J10">
        <v>77</v>
      </c>
      <c r="K10" t="s">
        <v>20</v>
      </c>
      <c r="L10" t="s">
        <v>50</v>
      </c>
      <c r="M10">
        <v>5</v>
      </c>
    </row>
    <row r="11" spans="1:13">
      <c r="A11" t="s">
        <v>528</v>
      </c>
      <c r="B11" t="s">
        <v>324</v>
      </c>
      <c r="C11" t="s">
        <v>35</v>
      </c>
      <c r="D11" t="s">
        <v>45</v>
      </c>
      <c r="E11" t="s">
        <v>39</v>
      </c>
      <c r="F11" t="s">
        <v>36</v>
      </c>
      <c r="G11" t="s">
        <v>31</v>
      </c>
      <c r="H11" s="2">
        <v>46180</v>
      </c>
      <c r="I11" s="3">
        <v>795</v>
      </c>
      <c r="J11">
        <v>47</v>
      </c>
      <c r="K11" t="s">
        <v>26</v>
      </c>
      <c r="L11" t="s">
        <v>32</v>
      </c>
      <c r="M11">
        <v>3</v>
      </c>
    </row>
    <row r="12" spans="1:13">
      <c r="A12" t="s">
        <v>348</v>
      </c>
      <c r="B12" t="s">
        <v>349</v>
      </c>
      <c r="C12" t="s">
        <v>15</v>
      </c>
      <c r="D12" t="s">
        <v>29</v>
      </c>
      <c r="E12" t="s">
        <v>56</v>
      </c>
      <c r="F12" t="s">
        <v>60</v>
      </c>
      <c r="G12" t="s">
        <v>31</v>
      </c>
      <c r="H12" s="2">
        <v>46175</v>
      </c>
      <c r="I12" s="3">
        <v>170</v>
      </c>
      <c r="J12">
        <v>16</v>
      </c>
      <c r="K12" t="s">
        <v>26</v>
      </c>
      <c r="L12" t="s">
        <v>21</v>
      </c>
      <c r="M12">
        <v>4</v>
      </c>
    </row>
    <row r="13" spans="1:13">
      <c r="A13" t="s">
        <v>468</v>
      </c>
      <c r="B13" t="s">
        <v>104</v>
      </c>
      <c r="C13" t="s">
        <v>15</v>
      </c>
      <c r="D13" t="s">
        <v>49</v>
      </c>
      <c r="E13" t="s">
        <v>56</v>
      </c>
      <c r="F13" t="s">
        <v>18</v>
      </c>
      <c r="G13" t="s">
        <v>31</v>
      </c>
      <c r="H13" s="2">
        <v>46175</v>
      </c>
      <c r="I13" s="3">
        <v>1165</v>
      </c>
      <c r="J13">
        <v>76</v>
      </c>
      <c r="K13" t="s">
        <v>26</v>
      </c>
      <c r="L13" t="s">
        <v>32</v>
      </c>
      <c r="M13">
        <v>4</v>
      </c>
    </row>
    <row r="14" spans="1:13">
      <c r="A14" t="s">
        <v>293</v>
      </c>
      <c r="B14" t="s">
        <v>184</v>
      </c>
      <c r="C14" t="s">
        <v>24</v>
      </c>
      <c r="D14" t="s">
        <v>25</v>
      </c>
      <c r="E14" t="s">
        <v>53</v>
      </c>
      <c r="F14" t="s">
        <v>60</v>
      </c>
      <c r="G14" t="s">
        <v>41</v>
      </c>
      <c r="H14" s="2">
        <v>46172</v>
      </c>
      <c r="I14" s="3">
        <v>475</v>
      </c>
      <c r="J14">
        <v>21</v>
      </c>
      <c r="K14" t="s">
        <v>26</v>
      </c>
      <c r="L14" t="s">
        <v>21</v>
      </c>
      <c r="M14">
        <v>3</v>
      </c>
    </row>
    <row r="15" spans="1:13">
      <c r="A15" t="s">
        <v>341</v>
      </c>
      <c r="B15" t="s">
        <v>342</v>
      </c>
      <c r="C15" t="s">
        <v>24</v>
      </c>
      <c r="D15" t="s">
        <v>59</v>
      </c>
      <c r="E15" t="s">
        <v>88</v>
      </c>
      <c r="F15" t="s">
        <v>46</v>
      </c>
      <c r="G15" t="s">
        <v>41</v>
      </c>
      <c r="H15" s="2">
        <v>46170</v>
      </c>
      <c r="I15" s="3">
        <v>435</v>
      </c>
      <c r="J15">
        <v>24</v>
      </c>
      <c r="K15" t="s">
        <v>20</v>
      </c>
      <c r="L15" t="s">
        <v>50</v>
      </c>
      <c r="M15">
        <v>4</v>
      </c>
    </row>
    <row r="16" spans="1:13">
      <c r="A16" t="s">
        <v>235</v>
      </c>
      <c r="B16" t="s">
        <v>236</v>
      </c>
      <c r="C16" t="s">
        <v>24</v>
      </c>
      <c r="D16" t="s">
        <v>45</v>
      </c>
      <c r="E16" t="s">
        <v>88</v>
      </c>
      <c r="F16" t="s">
        <v>36</v>
      </c>
      <c r="G16" t="s">
        <v>19</v>
      </c>
      <c r="H16" s="2">
        <v>46168</v>
      </c>
      <c r="I16" s="3">
        <v>370</v>
      </c>
      <c r="J16">
        <v>17</v>
      </c>
      <c r="K16" t="s">
        <v>26</v>
      </c>
      <c r="L16" t="s">
        <v>50</v>
      </c>
      <c r="M16">
        <v>3</v>
      </c>
    </row>
    <row r="17" spans="1:13">
      <c r="A17" t="s">
        <v>113</v>
      </c>
      <c r="B17" t="s">
        <v>114</v>
      </c>
      <c r="C17" t="s">
        <v>35</v>
      </c>
      <c r="D17" t="s">
        <v>16</v>
      </c>
      <c r="E17" t="s">
        <v>39</v>
      </c>
      <c r="F17" t="s">
        <v>18</v>
      </c>
      <c r="G17" t="s">
        <v>41</v>
      </c>
      <c r="H17" s="2">
        <v>46160</v>
      </c>
      <c r="I17" s="3">
        <v>745</v>
      </c>
      <c r="J17">
        <v>67</v>
      </c>
      <c r="K17" t="s">
        <v>20</v>
      </c>
      <c r="L17" t="s">
        <v>32</v>
      </c>
      <c r="M17">
        <v>5</v>
      </c>
    </row>
    <row r="18" spans="1:13">
      <c r="A18" t="s">
        <v>507</v>
      </c>
      <c r="B18" t="s">
        <v>214</v>
      </c>
      <c r="C18" t="s">
        <v>15</v>
      </c>
      <c r="D18" t="s">
        <v>16</v>
      </c>
      <c r="E18" t="s">
        <v>39</v>
      </c>
      <c r="F18" t="s">
        <v>40</v>
      </c>
      <c r="G18" t="s">
        <v>41</v>
      </c>
      <c r="H18" s="2">
        <v>46159</v>
      </c>
      <c r="I18" s="3">
        <v>520</v>
      </c>
      <c r="J18">
        <v>24</v>
      </c>
      <c r="K18" t="s">
        <v>26</v>
      </c>
      <c r="L18" t="s">
        <v>50</v>
      </c>
      <c r="M18">
        <v>3</v>
      </c>
    </row>
    <row r="19" spans="1:13">
      <c r="A19" t="s">
        <v>367</v>
      </c>
      <c r="B19" t="s">
        <v>368</v>
      </c>
      <c r="C19" t="s">
        <v>44</v>
      </c>
      <c r="D19" t="s">
        <v>49</v>
      </c>
      <c r="E19" t="s">
        <v>88</v>
      </c>
      <c r="F19" t="s">
        <v>40</v>
      </c>
      <c r="G19" t="s">
        <v>41</v>
      </c>
      <c r="H19" s="2">
        <v>46155</v>
      </c>
      <c r="I19" s="3">
        <v>345</v>
      </c>
      <c r="J19">
        <v>4</v>
      </c>
      <c r="K19" t="s">
        <v>26</v>
      </c>
      <c r="L19" t="s">
        <v>32</v>
      </c>
      <c r="M19">
        <v>4</v>
      </c>
    </row>
    <row r="20" spans="1:13">
      <c r="A20" t="s">
        <v>305</v>
      </c>
      <c r="B20" t="s">
        <v>306</v>
      </c>
      <c r="C20" t="s">
        <v>24</v>
      </c>
      <c r="D20" t="s">
        <v>49</v>
      </c>
      <c r="E20" t="s">
        <v>30</v>
      </c>
      <c r="F20" t="s">
        <v>60</v>
      </c>
      <c r="G20" t="s">
        <v>19</v>
      </c>
      <c r="H20" s="2">
        <v>46151</v>
      </c>
      <c r="I20" s="3">
        <v>435</v>
      </c>
      <c r="J20">
        <v>20</v>
      </c>
      <c r="K20" t="s">
        <v>20</v>
      </c>
      <c r="L20" t="s">
        <v>32</v>
      </c>
      <c r="M20">
        <v>3</v>
      </c>
    </row>
    <row r="21" spans="1:13">
      <c r="A21" t="s">
        <v>491</v>
      </c>
      <c r="B21" t="s">
        <v>175</v>
      </c>
      <c r="C21" t="s">
        <v>15</v>
      </c>
      <c r="D21" t="s">
        <v>29</v>
      </c>
      <c r="E21" t="s">
        <v>30</v>
      </c>
      <c r="F21" t="s">
        <v>18</v>
      </c>
      <c r="G21" t="s">
        <v>31</v>
      </c>
      <c r="H21" s="2">
        <v>46151</v>
      </c>
      <c r="I21" s="3">
        <v>595</v>
      </c>
      <c r="J21">
        <v>29</v>
      </c>
      <c r="K21" t="s">
        <v>26</v>
      </c>
      <c r="L21" t="s">
        <v>21</v>
      </c>
      <c r="M21">
        <v>5</v>
      </c>
    </row>
    <row r="22" spans="1:13">
      <c r="A22" t="s">
        <v>181</v>
      </c>
      <c r="B22" t="s">
        <v>182</v>
      </c>
      <c r="C22" t="s">
        <v>24</v>
      </c>
      <c r="D22" t="s">
        <v>25</v>
      </c>
      <c r="E22" t="s">
        <v>39</v>
      </c>
      <c r="F22" t="s">
        <v>40</v>
      </c>
      <c r="G22" t="s">
        <v>41</v>
      </c>
      <c r="H22" s="2">
        <v>46148</v>
      </c>
      <c r="I22" s="3">
        <v>350</v>
      </c>
      <c r="J22">
        <v>4</v>
      </c>
      <c r="K22" t="s">
        <v>26</v>
      </c>
      <c r="L22" t="s">
        <v>50</v>
      </c>
      <c r="M22">
        <v>2</v>
      </c>
    </row>
    <row r="23" spans="1:13">
      <c r="A23" t="s">
        <v>532</v>
      </c>
      <c r="B23" t="s">
        <v>233</v>
      </c>
      <c r="C23" t="s">
        <v>35</v>
      </c>
      <c r="D23" t="s">
        <v>49</v>
      </c>
      <c r="E23" t="s">
        <v>39</v>
      </c>
      <c r="F23" t="s">
        <v>18</v>
      </c>
      <c r="G23" t="s">
        <v>19</v>
      </c>
      <c r="H23" s="2">
        <v>46145</v>
      </c>
      <c r="I23" s="3">
        <v>715</v>
      </c>
      <c r="J23">
        <v>33</v>
      </c>
      <c r="K23" t="s">
        <v>20</v>
      </c>
      <c r="L23" t="s">
        <v>50</v>
      </c>
      <c r="M23">
        <v>3</v>
      </c>
    </row>
    <row r="24" spans="1:13">
      <c r="A24" t="s">
        <v>128</v>
      </c>
      <c r="B24" t="s">
        <v>129</v>
      </c>
      <c r="C24" t="s">
        <v>44</v>
      </c>
      <c r="D24" t="s">
        <v>29</v>
      </c>
      <c r="E24" t="s">
        <v>39</v>
      </c>
      <c r="F24" t="s">
        <v>46</v>
      </c>
      <c r="G24" t="s">
        <v>31</v>
      </c>
      <c r="H24" s="2">
        <v>46141</v>
      </c>
      <c r="I24" s="3">
        <v>130</v>
      </c>
      <c r="J24">
        <v>14</v>
      </c>
      <c r="K24" t="s">
        <v>20</v>
      </c>
      <c r="L24" t="s">
        <v>21</v>
      </c>
      <c r="M24">
        <v>5</v>
      </c>
    </row>
    <row r="25" spans="1:13">
      <c r="A25" t="s">
        <v>72</v>
      </c>
      <c r="B25" t="s">
        <v>73</v>
      </c>
      <c r="C25" t="s">
        <v>44</v>
      </c>
      <c r="D25" t="s">
        <v>45</v>
      </c>
      <c r="E25" t="s">
        <v>56</v>
      </c>
      <c r="F25" t="s">
        <v>36</v>
      </c>
      <c r="G25" t="s">
        <v>41</v>
      </c>
      <c r="H25" s="2">
        <v>46139</v>
      </c>
      <c r="I25" s="3">
        <v>565</v>
      </c>
      <c r="J25">
        <v>28</v>
      </c>
      <c r="K25" t="s">
        <v>26</v>
      </c>
      <c r="L25" t="s">
        <v>32</v>
      </c>
      <c r="M25">
        <v>3</v>
      </c>
    </row>
    <row r="26" spans="1:13">
      <c r="A26" t="s">
        <v>542</v>
      </c>
      <c r="B26" t="s">
        <v>122</v>
      </c>
      <c r="C26" t="s">
        <v>35</v>
      </c>
      <c r="D26" t="s">
        <v>45</v>
      </c>
      <c r="E26" t="s">
        <v>53</v>
      </c>
      <c r="F26" t="s">
        <v>60</v>
      </c>
      <c r="G26" t="s">
        <v>19</v>
      </c>
      <c r="H26" s="2">
        <v>46135</v>
      </c>
      <c r="I26" s="3">
        <v>260</v>
      </c>
      <c r="J26">
        <v>6</v>
      </c>
      <c r="K26" t="s">
        <v>26</v>
      </c>
      <c r="L26" t="s">
        <v>32</v>
      </c>
      <c r="M26">
        <v>3</v>
      </c>
    </row>
    <row r="27" spans="1:13">
      <c r="A27" t="s">
        <v>241</v>
      </c>
      <c r="B27" t="s">
        <v>175</v>
      </c>
      <c r="C27" t="s">
        <v>24</v>
      </c>
      <c r="D27" t="s">
        <v>25</v>
      </c>
      <c r="E27" t="s">
        <v>88</v>
      </c>
      <c r="F27" t="s">
        <v>36</v>
      </c>
      <c r="G27" t="s">
        <v>41</v>
      </c>
      <c r="H27" s="2">
        <v>46134</v>
      </c>
      <c r="I27" s="3">
        <v>450</v>
      </c>
      <c r="J27">
        <v>12</v>
      </c>
      <c r="K27" t="s">
        <v>26</v>
      </c>
      <c r="L27" t="s">
        <v>32</v>
      </c>
      <c r="M27">
        <v>2</v>
      </c>
    </row>
    <row r="28" spans="1:13">
      <c r="A28" t="s">
        <v>166</v>
      </c>
      <c r="B28" t="s">
        <v>167</v>
      </c>
      <c r="C28" t="s">
        <v>24</v>
      </c>
      <c r="D28" t="s">
        <v>29</v>
      </c>
      <c r="E28" t="s">
        <v>53</v>
      </c>
      <c r="F28" t="s">
        <v>60</v>
      </c>
      <c r="G28" t="s">
        <v>31</v>
      </c>
      <c r="H28" s="2">
        <v>46131</v>
      </c>
      <c r="I28" s="3">
        <v>165</v>
      </c>
      <c r="J28">
        <v>9</v>
      </c>
      <c r="K28" t="s">
        <v>26</v>
      </c>
      <c r="L28" t="s">
        <v>32</v>
      </c>
      <c r="M28">
        <v>4</v>
      </c>
    </row>
    <row r="29" spans="1:13">
      <c r="A29" t="s">
        <v>203</v>
      </c>
      <c r="B29" t="s">
        <v>204</v>
      </c>
      <c r="C29" t="s">
        <v>44</v>
      </c>
      <c r="D29" t="s">
        <v>49</v>
      </c>
      <c r="E29" t="s">
        <v>56</v>
      </c>
      <c r="F29" t="s">
        <v>46</v>
      </c>
      <c r="G29" t="s">
        <v>31</v>
      </c>
      <c r="H29" s="2">
        <v>46128</v>
      </c>
      <c r="I29" s="3">
        <v>155</v>
      </c>
      <c r="J29">
        <v>21</v>
      </c>
      <c r="K29" t="s">
        <v>20</v>
      </c>
      <c r="L29" t="s">
        <v>32</v>
      </c>
      <c r="M29">
        <v>3</v>
      </c>
    </row>
    <row r="30" spans="1:13">
      <c r="A30" t="s">
        <v>163</v>
      </c>
      <c r="B30" t="s">
        <v>164</v>
      </c>
      <c r="C30" t="s">
        <v>35</v>
      </c>
      <c r="D30" t="s">
        <v>16</v>
      </c>
      <c r="E30" t="s">
        <v>56</v>
      </c>
      <c r="F30" t="s">
        <v>36</v>
      </c>
      <c r="G30" t="s">
        <v>41</v>
      </c>
      <c r="H30" s="2">
        <v>46128</v>
      </c>
      <c r="I30" s="3">
        <v>580</v>
      </c>
      <c r="J30">
        <v>35</v>
      </c>
      <c r="K30" t="s">
        <v>26</v>
      </c>
      <c r="L30" t="s">
        <v>50</v>
      </c>
      <c r="M30">
        <v>4</v>
      </c>
    </row>
    <row r="31" spans="1:13">
      <c r="A31" t="s">
        <v>442</v>
      </c>
      <c r="B31" t="s">
        <v>308</v>
      </c>
      <c r="C31" t="s">
        <v>35</v>
      </c>
      <c r="D31" t="s">
        <v>29</v>
      </c>
      <c r="E31" t="s">
        <v>56</v>
      </c>
      <c r="F31" t="s">
        <v>60</v>
      </c>
      <c r="G31" t="s">
        <v>41</v>
      </c>
      <c r="H31" s="2">
        <v>46126</v>
      </c>
      <c r="I31" s="3">
        <v>460</v>
      </c>
      <c r="J31">
        <v>12</v>
      </c>
      <c r="K31" t="s">
        <v>20</v>
      </c>
      <c r="L31" t="s">
        <v>32</v>
      </c>
      <c r="M31">
        <v>4</v>
      </c>
    </row>
    <row r="32" spans="1:13">
      <c r="A32" t="s">
        <v>47</v>
      </c>
      <c r="B32" t="s">
        <v>48</v>
      </c>
      <c r="C32" t="s">
        <v>24</v>
      </c>
      <c r="D32" t="s">
        <v>49</v>
      </c>
      <c r="E32" t="s">
        <v>17</v>
      </c>
      <c r="F32" t="s">
        <v>18</v>
      </c>
      <c r="G32" t="s">
        <v>31</v>
      </c>
      <c r="H32" s="2">
        <v>46124</v>
      </c>
      <c r="I32" s="3">
        <v>1315</v>
      </c>
      <c r="J32">
        <v>72</v>
      </c>
      <c r="K32" t="s">
        <v>26</v>
      </c>
      <c r="L32" t="s">
        <v>50</v>
      </c>
      <c r="M32">
        <v>2</v>
      </c>
    </row>
    <row r="33" spans="1:13">
      <c r="A33" t="s">
        <v>264</v>
      </c>
      <c r="B33" t="s">
        <v>164</v>
      </c>
      <c r="C33" t="s">
        <v>44</v>
      </c>
      <c r="D33" t="s">
        <v>29</v>
      </c>
      <c r="E33" t="s">
        <v>17</v>
      </c>
      <c r="F33" t="s">
        <v>40</v>
      </c>
      <c r="G33" t="s">
        <v>41</v>
      </c>
      <c r="H33" s="2">
        <v>46123</v>
      </c>
      <c r="I33" s="3">
        <v>450</v>
      </c>
      <c r="J33">
        <v>12</v>
      </c>
      <c r="K33" t="s">
        <v>26</v>
      </c>
      <c r="L33" t="s">
        <v>50</v>
      </c>
      <c r="M33">
        <v>5</v>
      </c>
    </row>
    <row r="34" spans="1:13">
      <c r="A34" t="s">
        <v>484</v>
      </c>
      <c r="B34" t="s">
        <v>104</v>
      </c>
      <c r="C34" t="s">
        <v>35</v>
      </c>
      <c r="D34" t="s">
        <v>49</v>
      </c>
      <c r="E34" t="s">
        <v>56</v>
      </c>
      <c r="F34" t="s">
        <v>40</v>
      </c>
      <c r="G34" t="s">
        <v>19</v>
      </c>
      <c r="H34" s="2">
        <v>46113</v>
      </c>
      <c r="I34" s="3">
        <v>215</v>
      </c>
      <c r="J34">
        <v>4</v>
      </c>
      <c r="K34" t="s">
        <v>26</v>
      </c>
      <c r="L34" t="s">
        <v>21</v>
      </c>
      <c r="M34">
        <v>5</v>
      </c>
    </row>
    <row r="35" spans="1:13">
      <c r="A35" t="s">
        <v>461</v>
      </c>
      <c r="B35" t="s">
        <v>335</v>
      </c>
      <c r="C35" t="s">
        <v>24</v>
      </c>
      <c r="D35" t="s">
        <v>29</v>
      </c>
      <c r="E35" t="s">
        <v>39</v>
      </c>
      <c r="F35" t="s">
        <v>36</v>
      </c>
      <c r="G35" t="s">
        <v>19</v>
      </c>
      <c r="H35" s="2">
        <v>46111</v>
      </c>
      <c r="I35" s="3">
        <v>980</v>
      </c>
      <c r="J35">
        <v>51</v>
      </c>
      <c r="K35" t="s">
        <v>26</v>
      </c>
      <c r="L35" t="s">
        <v>32</v>
      </c>
      <c r="M35">
        <v>5</v>
      </c>
    </row>
    <row r="36" spans="1:13">
      <c r="A36" t="s">
        <v>416</v>
      </c>
      <c r="B36" t="s">
        <v>300</v>
      </c>
      <c r="C36" t="s">
        <v>44</v>
      </c>
      <c r="D36" t="s">
        <v>29</v>
      </c>
      <c r="E36" t="s">
        <v>17</v>
      </c>
      <c r="F36" t="s">
        <v>46</v>
      </c>
      <c r="G36" t="s">
        <v>41</v>
      </c>
      <c r="H36" s="2">
        <v>46108</v>
      </c>
      <c r="I36" s="3">
        <v>200</v>
      </c>
      <c r="J36">
        <v>3</v>
      </c>
      <c r="K36" t="s">
        <v>26</v>
      </c>
      <c r="L36" t="s">
        <v>32</v>
      </c>
      <c r="M36">
        <v>4</v>
      </c>
    </row>
    <row r="37" spans="1:13">
      <c r="A37" t="s">
        <v>170</v>
      </c>
      <c r="B37" t="s">
        <v>55</v>
      </c>
      <c r="C37" t="s">
        <v>15</v>
      </c>
      <c r="D37" t="s">
        <v>29</v>
      </c>
      <c r="E37" t="s">
        <v>88</v>
      </c>
      <c r="F37" t="s">
        <v>40</v>
      </c>
      <c r="G37" t="s">
        <v>41</v>
      </c>
      <c r="H37" s="2">
        <v>46107</v>
      </c>
      <c r="I37" s="3">
        <v>310</v>
      </c>
      <c r="J37">
        <v>3</v>
      </c>
      <c r="K37" t="s">
        <v>20</v>
      </c>
      <c r="L37" t="s">
        <v>32</v>
      </c>
      <c r="M37">
        <v>2</v>
      </c>
    </row>
    <row r="38" spans="1:13">
      <c r="A38" t="s">
        <v>301</v>
      </c>
      <c r="B38" t="s">
        <v>100</v>
      </c>
      <c r="C38" t="s">
        <v>24</v>
      </c>
      <c r="D38" t="s">
        <v>16</v>
      </c>
      <c r="E38" t="s">
        <v>53</v>
      </c>
      <c r="F38" t="s">
        <v>36</v>
      </c>
      <c r="G38" t="s">
        <v>19</v>
      </c>
      <c r="H38" s="2">
        <v>46107</v>
      </c>
      <c r="I38" s="3">
        <v>380</v>
      </c>
      <c r="J38">
        <v>9</v>
      </c>
      <c r="K38" t="s">
        <v>26</v>
      </c>
      <c r="L38" t="s">
        <v>32</v>
      </c>
      <c r="M38">
        <v>3</v>
      </c>
    </row>
    <row r="39" spans="1:13">
      <c r="A39" t="s">
        <v>65</v>
      </c>
      <c r="B39" t="s">
        <v>66</v>
      </c>
      <c r="C39" t="s">
        <v>24</v>
      </c>
      <c r="D39" t="s">
        <v>25</v>
      </c>
      <c r="E39" t="s">
        <v>17</v>
      </c>
      <c r="F39" t="s">
        <v>60</v>
      </c>
      <c r="G39" t="s">
        <v>19</v>
      </c>
      <c r="H39" s="2">
        <v>46104</v>
      </c>
      <c r="I39" s="3">
        <v>455</v>
      </c>
      <c r="J39">
        <v>23</v>
      </c>
      <c r="K39" t="s">
        <v>26</v>
      </c>
      <c r="L39" t="s">
        <v>50</v>
      </c>
      <c r="M39">
        <v>4</v>
      </c>
    </row>
    <row r="40" spans="1:13">
      <c r="A40" t="s">
        <v>228</v>
      </c>
      <c r="B40" t="s">
        <v>129</v>
      </c>
      <c r="C40" t="s">
        <v>24</v>
      </c>
      <c r="D40" t="s">
        <v>29</v>
      </c>
      <c r="E40" t="s">
        <v>53</v>
      </c>
      <c r="F40" t="s">
        <v>36</v>
      </c>
      <c r="G40" t="s">
        <v>41</v>
      </c>
      <c r="H40" s="2">
        <v>46103</v>
      </c>
      <c r="I40" s="3">
        <v>465</v>
      </c>
      <c r="J40">
        <v>11</v>
      </c>
      <c r="K40" t="s">
        <v>26</v>
      </c>
      <c r="L40" t="s">
        <v>50</v>
      </c>
      <c r="M40">
        <v>4</v>
      </c>
    </row>
    <row r="41" spans="1:13">
      <c r="A41" t="s">
        <v>134</v>
      </c>
      <c r="B41" t="s">
        <v>110</v>
      </c>
      <c r="C41" t="s">
        <v>44</v>
      </c>
      <c r="D41" t="s">
        <v>29</v>
      </c>
      <c r="E41" t="s">
        <v>53</v>
      </c>
      <c r="F41" t="s">
        <v>40</v>
      </c>
      <c r="G41" t="s">
        <v>31</v>
      </c>
      <c r="H41" s="2">
        <v>46094</v>
      </c>
      <c r="I41" s="3">
        <v>260</v>
      </c>
      <c r="J41">
        <v>10</v>
      </c>
      <c r="K41" t="s">
        <v>26</v>
      </c>
      <c r="L41" t="s">
        <v>32</v>
      </c>
      <c r="M41">
        <v>3</v>
      </c>
    </row>
    <row r="42" spans="1:13">
      <c r="A42" t="s">
        <v>218</v>
      </c>
      <c r="B42" t="s">
        <v>100</v>
      </c>
      <c r="C42" t="s">
        <v>15</v>
      </c>
      <c r="D42" t="s">
        <v>45</v>
      </c>
      <c r="E42" t="s">
        <v>88</v>
      </c>
      <c r="F42" t="s">
        <v>60</v>
      </c>
      <c r="G42" t="s">
        <v>41</v>
      </c>
      <c r="H42" s="2">
        <v>46093</v>
      </c>
      <c r="I42" s="3">
        <v>445</v>
      </c>
      <c r="J42">
        <v>15</v>
      </c>
      <c r="K42" t="s">
        <v>20</v>
      </c>
      <c r="L42" t="s">
        <v>32</v>
      </c>
      <c r="M42">
        <v>4</v>
      </c>
    </row>
    <row r="43" spans="1:13">
      <c r="A43" t="s">
        <v>481</v>
      </c>
      <c r="B43" t="s">
        <v>482</v>
      </c>
      <c r="C43" t="s">
        <v>15</v>
      </c>
      <c r="D43" t="s">
        <v>16</v>
      </c>
      <c r="E43" t="s">
        <v>88</v>
      </c>
      <c r="F43" t="s">
        <v>36</v>
      </c>
      <c r="G43" t="s">
        <v>19</v>
      </c>
      <c r="H43" s="2">
        <v>46093</v>
      </c>
      <c r="I43" s="3">
        <v>1000</v>
      </c>
      <c r="J43">
        <v>66</v>
      </c>
      <c r="K43" t="s">
        <v>26</v>
      </c>
      <c r="L43" t="s">
        <v>32</v>
      </c>
      <c r="M43">
        <v>2</v>
      </c>
    </row>
    <row r="44" spans="1:13">
      <c r="A44" t="s">
        <v>510</v>
      </c>
      <c r="B44" t="s">
        <v>310</v>
      </c>
      <c r="C44" t="s">
        <v>44</v>
      </c>
      <c r="D44" t="s">
        <v>45</v>
      </c>
      <c r="E44" t="s">
        <v>39</v>
      </c>
      <c r="F44" t="s">
        <v>18</v>
      </c>
      <c r="G44" t="s">
        <v>41</v>
      </c>
      <c r="H44" s="2">
        <v>46090</v>
      </c>
      <c r="I44" s="3">
        <v>550</v>
      </c>
      <c r="J44">
        <v>26</v>
      </c>
      <c r="K44" t="s">
        <v>20</v>
      </c>
      <c r="L44" t="s">
        <v>21</v>
      </c>
      <c r="M44">
        <v>5</v>
      </c>
    </row>
    <row r="45" spans="1:13">
      <c r="A45" t="s">
        <v>539</v>
      </c>
      <c r="B45" t="s">
        <v>96</v>
      </c>
      <c r="C45" t="s">
        <v>15</v>
      </c>
      <c r="D45" t="s">
        <v>59</v>
      </c>
      <c r="E45" t="s">
        <v>39</v>
      </c>
      <c r="F45" t="s">
        <v>36</v>
      </c>
      <c r="G45" t="s">
        <v>41</v>
      </c>
      <c r="H45" s="2">
        <v>46090</v>
      </c>
      <c r="I45" s="3">
        <v>1570</v>
      </c>
      <c r="J45">
        <v>78</v>
      </c>
      <c r="K45" t="s">
        <v>26</v>
      </c>
      <c r="L45" t="s">
        <v>32</v>
      </c>
      <c r="M45">
        <v>4</v>
      </c>
    </row>
    <row r="46" spans="1:13">
      <c r="A46" t="s">
        <v>438</v>
      </c>
      <c r="B46" t="s">
        <v>87</v>
      </c>
      <c r="C46" t="s">
        <v>44</v>
      </c>
      <c r="D46" t="s">
        <v>45</v>
      </c>
      <c r="E46" t="s">
        <v>53</v>
      </c>
      <c r="F46" t="s">
        <v>40</v>
      </c>
      <c r="G46" t="s">
        <v>31</v>
      </c>
      <c r="H46" s="2">
        <v>46084</v>
      </c>
      <c r="I46" s="3">
        <v>315</v>
      </c>
      <c r="J46">
        <v>17</v>
      </c>
      <c r="K46" t="s">
        <v>26</v>
      </c>
      <c r="L46" t="s">
        <v>21</v>
      </c>
      <c r="M46">
        <v>3</v>
      </c>
    </row>
    <row r="47" spans="1:13">
      <c r="A47" t="s">
        <v>378</v>
      </c>
      <c r="B47" t="s">
        <v>379</v>
      </c>
      <c r="C47" t="s">
        <v>35</v>
      </c>
      <c r="D47" t="s">
        <v>45</v>
      </c>
      <c r="E47" t="s">
        <v>56</v>
      </c>
      <c r="F47" t="s">
        <v>18</v>
      </c>
      <c r="G47" t="s">
        <v>19</v>
      </c>
      <c r="H47" s="2">
        <v>46083</v>
      </c>
      <c r="I47" s="3">
        <v>480</v>
      </c>
      <c r="J47">
        <v>40</v>
      </c>
      <c r="K47" t="s">
        <v>26</v>
      </c>
      <c r="L47" t="s">
        <v>50</v>
      </c>
      <c r="M47">
        <v>3</v>
      </c>
    </row>
    <row r="48" spans="1:13">
      <c r="A48" t="s">
        <v>194</v>
      </c>
      <c r="B48" t="s">
        <v>182</v>
      </c>
      <c r="C48" t="s">
        <v>15</v>
      </c>
      <c r="D48" t="s">
        <v>49</v>
      </c>
      <c r="E48" t="s">
        <v>30</v>
      </c>
      <c r="F48" t="s">
        <v>18</v>
      </c>
      <c r="G48" t="s">
        <v>41</v>
      </c>
      <c r="H48" s="2">
        <v>46083</v>
      </c>
      <c r="I48" s="3">
        <v>580</v>
      </c>
      <c r="J48">
        <v>50</v>
      </c>
      <c r="K48" t="s">
        <v>26</v>
      </c>
      <c r="L48" t="s">
        <v>21</v>
      </c>
      <c r="M48">
        <v>4</v>
      </c>
    </row>
    <row r="49" spans="1:13">
      <c r="A49" t="s">
        <v>232</v>
      </c>
      <c r="B49" t="s">
        <v>233</v>
      </c>
      <c r="C49" t="s">
        <v>15</v>
      </c>
      <c r="D49" t="s">
        <v>16</v>
      </c>
      <c r="E49" t="s">
        <v>17</v>
      </c>
      <c r="F49" t="s">
        <v>46</v>
      </c>
      <c r="G49" t="s">
        <v>19</v>
      </c>
      <c r="H49" s="2">
        <v>46078</v>
      </c>
      <c r="I49" s="3">
        <v>240</v>
      </c>
      <c r="J49">
        <v>16</v>
      </c>
      <c r="K49" t="s">
        <v>20</v>
      </c>
      <c r="L49" t="s">
        <v>50</v>
      </c>
      <c r="M49">
        <v>2</v>
      </c>
    </row>
    <row r="50" spans="1:13">
      <c r="A50" t="s">
        <v>255</v>
      </c>
      <c r="B50" t="s">
        <v>68</v>
      </c>
      <c r="C50" t="s">
        <v>15</v>
      </c>
      <c r="D50" t="s">
        <v>45</v>
      </c>
      <c r="E50" t="s">
        <v>53</v>
      </c>
      <c r="F50" t="s">
        <v>60</v>
      </c>
      <c r="G50" t="s">
        <v>19</v>
      </c>
      <c r="H50" s="2">
        <v>46076</v>
      </c>
      <c r="I50" s="3">
        <v>280</v>
      </c>
      <c r="J50">
        <v>14</v>
      </c>
      <c r="K50" t="s">
        <v>26</v>
      </c>
      <c r="L50" t="s">
        <v>32</v>
      </c>
      <c r="M50">
        <v>4</v>
      </c>
    </row>
    <row r="51" spans="1:13">
      <c r="A51" t="s">
        <v>464</v>
      </c>
      <c r="B51" t="s">
        <v>465</v>
      </c>
      <c r="C51" t="s">
        <v>44</v>
      </c>
      <c r="D51" t="s">
        <v>59</v>
      </c>
      <c r="E51" t="s">
        <v>39</v>
      </c>
      <c r="F51" t="s">
        <v>46</v>
      </c>
      <c r="G51" t="s">
        <v>31</v>
      </c>
      <c r="H51" s="2">
        <v>46072</v>
      </c>
      <c r="I51" s="3">
        <v>190</v>
      </c>
      <c r="J51">
        <v>14</v>
      </c>
      <c r="K51" t="s">
        <v>26</v>
      </c>
      <c r="L51" t="s">
        <v>32</v>
      </c>
      <c r="M51">
        <v>3</v>
      </c>
    </row>
    <row r="52" spans="1:13">
      <c r="A52" t="s">
        <v>273</v>
      </c>
      <c r="B52" t="s">
        <v>274</v>
      </c>
      <c r="C52" t="s">
        <v>24</v>
      </c>
      <c r="D52" t="s">
        <v>25</v>
      </c>
      <c r="E52" t="s">
        <v>17</v>
      </c>
      <c r="F52" t="s">
        <v>46</v>
      </c>
      <c r="G52" t="s">
        <v>41</v>
      </c>
      <c r="H52" s="2">
        <v>46070</v>
      </c>
      <c r="I52" s="3">
        <v>270</v>
      </c>
      <c r="J52">
        <v>19</v>
      </c>
      <c r="K52" t="s">
        <v>26</v>
      </c>
      <c r="L52" t="s">
        <v>21</v>
      </c>
      <c r="M52">
        <v>3</v>
      </c>
    </row>
    <row r="53" spans="1:13">
      <c r="A53" t="s">
        <v>407</v>
      </c>
      <c r="B53" t="s">
        <v>73</v>
      </c>
      <c r="C53" t="s">
        <v>35</v>
      </c>
      <c r="D53" t="s">
        <v>49</v>
      </c>
      <c r="E53" t="s">
        <v>53</v>
      </c>
      <c r="F53" t="s">
        <v>46</v>
      </c>
      <c r="G53" t="s">
        <v>31</v>
      </c>
      <c r="H53" s="2">
        <v>46062</v>
      </c>
      <c r="I53" s="3">
        <v>325</v>
      </c>
      <c r="J53">
        <v>19</v>
      </c>
      <c r="K53" t="s">
        <v>20</v>
      </c>
      <c r="L53" t="s">
        <v>32</v>
      </c>
      <c r="M53">
        <v>5</v>
      </c>
    </row>
    <row r="54" spans="1:13">
      <c r="A54" t="s">
        <v>89</v>
      </c>
      <c r="B54" t="s">
        <v>90</v>
      </c>
      <c r="C54" t="s">
        <v>44</v>
      </c>
      <c r="D54" t="s">
        <v>45</v>
      </c>
      <c r="E54" t="s">
        <v>17</v>
      </c>
      <c r="F54" t="s">
        <v>60</v>
      </c>
      <c r="G54" t="s">
        <v>19</v>
      </c>
      <c r="H54" s="2">
        <v>46060</v>
      </c>
      <c r="I54" s="3">
        <v>510</v>
      </c>
      <c r="J54">
        <v>20</v>
      </c>
      <c r="K54" t="s">
        <v>26</v>
      </c>
      <c r="L54" t="s">
        <v>32</v>
      </c>
      <c r="M54">
        <v>3</v>
      </c>
    </row>
    <row r="55" spans="1:13">
      <c r="A55" t="s">
        <v>540</v>
      </c>
      <c r="B55" t="s">
        <v>351</v>
      </c>
      <c r="C55" t="s">
        <v>44</v>
      </c>
      <c r="D55" t="s">
        <v>45</v>
      </c>
      <c r="E55" t="s">
        <v>53</v>
      </c>
      <c r="F55" t="s">
        <v>60</v>
      </c>
      <c r="G55" t="s">
        <v>19</v>
      </c>
      <c r="H55" s="2">
        <v>46057</v>
      </c>
      <c r="I55" s="3">
        <v>245</v>
      </c>
      <c r="J55">
        <v>13</v>
      </c>
      <c r="K55" t="s">
        <v>26</v>
      </c>
      <c r="L55" t="s">
        <v>32</v>
      </c>
      <c r="M55">
        <v>5</v>
      </c>
    </row>
    <row r="56" spans="1:13">
      <c r="A56" t="s">
        <v>192</v>
      </c>
      <c r="B56" t="s">
        <v>193</v>
      </c>
      <c r="C56" t="s">
        <v>15</v>
      </c>
      <c r="D56" t="s">
        <v>59</v>
      </c>
      <c r="E56" t="s">
        <v>88</v>
      </c>
      <c r="F56" t="s">
        <v>36</v>
      </c>
      <c r="G56" t="s">
        <v>19</v>
      </c>
      <c r="H56" s="2">
        <v>46057</v>
      </c>
      <c r="I56" s="3">
        <v>1270</v>
      </c>
      <c r="J56">
        <v>78</v>
      </c>
      <c r="K56" t="s">
        <v>26</v>
      </c>
      <c r="L56" t="s">
        <v>50</v>
      </c>
      <c r="M56">
        <v>2</v>
      </c>
    </row>
    <row r="57" spans="1:13">
      <c r="A57" t="s">
        <v>150</v>
      </c>
      <c r="B57" t="s">
        <v>151</v>
      </c>
      <c r="C57" t="s">
        <v>15</v>
      </c>
      <c r="D57" t="s">
        <v>49</v>
      </c>
      <c r="E57" t="s">
        <v>30</v>
      </c>
      <c r="F57" t="s">
        <v>18</v>
      </c>
      <c r="G57" t="s">
        <v>31</v>
      </c>
      <c r="H57" s="2">
        <v>46056</v>
      </c>
      <c r="I57" s="3">
        <v>130</v>
      </c>
      <c r="J57">
        <v>5</v>
      </c>
      <c r="K57" t="s">
        <v>26</v>
      </c>
      <c r="L57" t="s">
        <v>50</v>
      </c>
      <c r="M57">
        <v>3</v>
      </c>
    </row>
    <row r="58" spans="1:13">
      <c r="A58" t="s">
        <v>493</v>
      </c>
      <c r="B58" t="s">
        <v>175</v>
      </c>
      <c r="C58" t="s">
        <v>24</v>
      </c>
      <c r="D58" t="s">
        <v>59</v>
      </c>
      <c r="E58" t="s">
        <v>30</v>
      </c>
      <c r="F58" t="s">
        <v>60</v>
      </c>
      <c r="G58" t="s">
        <v>19</v>
      </c>
      <c r="H58" s="2">
        <v>46051</v>
      </c>
      <c r="I58" s="3">
        <v>190</v>
      </c>
      <c r="J58">
        <v>2</v>
      </c>
      <c r="K58" t="s">
        <v>26</v>
      </c>
      <c r="L58" t="s">
        <v>21</v>
      </c>
      <c r="M58">
        <v>2</v>
      </c>
    </row>
    <row r="59" spans="1:13">
      <c r="A59" t="s">
        <v>396</v>
      </c>
      <c r="B59" t="s">
        <v>277</v>
      </c>
      <c r="C59" t="s">
        <v>35</v>
      </c>
      <c r="D59" t="s">
        <v>45</v>
      </c>
      <c r="E59" t="s">
        <v>56</v>
      </c>
      <c r="F59" t="s">
        <v>36</v>
      </c>
      <c r="G59" t="s">
        <v>31</v>
      </c>
      <c r="H59" s="2">
        <v>46050</v>
      </c>
      <c r="I59" s="3">
        <v>200</v>
      </c>
      <c r="J59">
        <v>8</v>
      </c>
      <c r="K59" t="s">
        <v>26</v>
      </c>
      <c r="L59" t="s">
        <v>32</v>
      </c>
      <c r="M59">
        <v>5</v>
      </c>
    </row>
    <row r="60" spans="1:13">
      <c r="A60" t="s">
        <v>103</v>
      </c>
      <c r="B60" t="s">
        <v>104</v>
      </c>
      <c r="C60" t="s">
        <v>24</v>
      </c>
      <c r="D60" t="s">
        <v>49</v>
      </c>
      <c r="E60" t="s">
        <v>39</v>
      </c>
      <c r="F60" t="s">
        <v>60</v>
      </c>
      <c r="G60" t="s">
        <v>19</v>
      </c>
      <c r="H60" s="2">
        <v>46042</v>
      </c>
      <c r="I60" s="3">
        <v>225</v>
      </c>
      <c r="J60">
        <v>5</v>
      </c>
      <c r="K60" t="s">
        <v>20</v>
      </c>
      <c r="L60" t="s">
        <v>32</v>
      </c>
      <c r="M60">
        <v>5</v>
      </c>
    </row>
    <row r="61" spans="1:13">
      <c r="A61" t="s">
        <v>496</v>
      </c>
      <c r="B61" t="s">
        <v>497</v>
      </c>
      <c r="C61" t="s">
        <v>24</v>
      </c>
      <c r="D61" t="s">
        <v>16</v>
      </c>
      <c r="E61" t="s">
        <v>30</v>
      </c>
      <c r="F61" t="s">
        <v>60</v>
      </c>
      <c r="G61" t="s">
        <v>31</v>
      </c>
      <c r="H61" s="2">
        <v>46041</v>
      </c>
      <c r="I61" s="3">
        <v>280</v>
      </c>
      <c r="J61">
        <v>17</v>
      </c>
      <c r="K61" t="s">
        <v>26</v>
      </c>
      <c r="L61" t="s">
        <v>32</v>
      </c>
      <c r="M61">
        <v>4</v>
      </c>
    </row>
    <row r="62" spans="1:13">
      <c r="A62" t="s">
        <v>234</v>
      </c>
      <c r="B62" t="s">
        <v>79</v>
      </c>
      <c r="C62" t="s">
        <v>24</v>
      </c>
      <c r="D62" t="s">
        <v>25</v>
      </c>
      <c r="E62" t="s">
        <v>53</v>
      </c>
      <c r="F62" t="s">
        <v>60</v>
      </c>
      <c r="G62" t="s">
        <v>41</v>
      </c>
      <c r="H62" s="2">
        <v>46040</v>
      </c>
      <c r="I62" s="3">
        <v>300</v>
      </c>
      <c r="J62">
        <v>7</v>
      </c>
      <c r="K62" t="s">
        <v>26</v>
      </c>
      <c r="L62" t="s">
        <v>21</v>
      </c>
      <c r="M62">
        <v>5</v>
      </c>
    </row>
    <row r="63" spans="1:13">
      <c r="A63" t="s">
        <v>332</v>
      </c>
      <c r="B63" t="s">
        <v>333</v>
      </c>
      <c r="C63" t="s">
        <v>15</v>
      </c>
      <c r="D63" t="s">
        <v>16</v>
      </c>
      <c r="E63" t="s">
        <v>17</v>
      </c>
      <c r="F63" t="s">
        <v>46</v>
      </c>
      <c r="G63" t="s">
        <v>19</v>
      </c>
      <c r="H63" s="2">
        <v>46038</v>
      </c>
      <c r="I63" s="3">
        <v>125</v>
      </c>
      <c r="J63">
        <v>2</v>
      </c>
      <c r="K63" t="s">
        <v>20</v>
      </c>
      <c r="L63" t="s">
        <v>32</v>
      </c>
      <c r="M63">
        <v>3</v>
      </c>
    </row>
    <row r="64" spans="1:13">
      <c r="A64" t="s">
        <v>494</v>
      </c>
      <c r="B64" t="s">
        <v>358</v>
      </c>
      <c r="C64" t="s">
        <v>35</v>
      </c>
      <c r="D64" t="s">
        <v>29</v>
      </c>
      <c r="E64" t="s">
        <v>30</v>
      </c>
      <c r="F64" t="s">
        <v>40</v>
      </c>
      <c r="G64" t="s">
        <v>19</v>
      </c>
      <c r="H64" s="2">
        <v>46033</v>
      </c>
      <c r="I64" s="3">
        <v>425</v>
      </c>
      <c r="J64">
        <v>16</v>
      </c>
      <c r="K64" t="s">
        <v>26</v>
      </c>
      <c r="L64" t="s">
        <v>32</v>
      </c>
      <c r="M64">
        <v>4</v>
      </c>
    </row>
    <row r="65" spans="1:13">
      <c r="A65" t="s">
        <v>328</v>
      </c>
      <c r="B65" t="s">
        <v>329</v>
      </c>
      <c r="C65" t="s">
        <v>44</v>
      </c>
      <c r="D65" t="s">
        <v>25</v>
      </c>
      <c r="E65" t="s">
        <v>39</v>
      </c>
      <c r="F65" t="s">
        <v>40</v>
      </c>
      <c r="G65" t="s">
        <v>31</v>
      </c>
      <c r="H65" s="2">
        <v>46030</v>
      </c>
      <c r="I65" s="3">
        <v>210</v>
      </c>
      <c r="J65">
        <v>16</v>
      </c>
      <c r="K65" t="s">
        <v>26</v>
      </c>
      <c r="L65" t="s">
        <v>32</v>
      </c>
      <c r="M65">
        <v>3</v>
      </c>
    </row>
    <row r="66" spans="1:13">
      <c r="A66" t="s">
        <v>549</v>
      </c>
      <c r="B66" t="s">
        <v>324</v>
      </c>
      <c r="C66" t="s">
        <v>35</v>
      </c>
      <c r="D66" t="s">
        <v>49</v>
      </c>
      <c r="E66" t="s">
        <v>30</v>
      </c>
      <c r="F66" t="s">
        <v>60</v>
      </c>
      <c r="G66" t="s">
        <v>31</v>
      </c>
      <c r="H66" s="2">
        <v>46030</v>
      </c>
      <c r="I66" s="3">
        <v>290</v>
      </c>
      <c r="J66">
        <v>22</v>
      </c>
      <c r="K66" t="s">
        <v>20</v>
      </c>
      <c r="L66" t="s">
        <v>21</v>
      </c>
      <c r="M66">
        <v>4</v>
      </c>
    </row>
    <row r="67" spans="1:13">
      <c r="A67" t="s">
        <v>188</v>
      </c>
      <c r="B67" t="s">
        <v>189</v>
      </c>
      <c r="C67" t="s">
        <v>24</v>
      </c>
      <c r="D67" t="s">
        <v>45</v>
      </c>
      <c r="E67" t="s">
        <v>30</v>
      </c>
      <c r="F67" t="s">
        <v>40</v>
      </c>
      <c r="G67" t="s">
        <v>31</v>
      </c>
      <c r="H67" s="2">
        <v>46029</v>
      </c>
      <c r="I67" s="3">
        <v>200</v>
      </c>
      <c r="J67">
        <v>7</v>
      </c>
      <c r="K67" t="s">
        <v>20</v>
      </c>
      <c r="L67" t="s">
        <v>50</v>
      </c>
      <c r="M67">
        <v>3</v>
      </c>
    </row>
    <row r="68" spans="1:13">
      <c r="A68" t="s">
        <v>176</v>
      </c>
      <c r="B68" t="s">
        <v>177</v>
      </c>
      <c r="C68" t="s">
        <v>35</v>
      </c>
      <c r="D68" t="s">
        <v>16</v>
      </c>
      <c r="E68" t="s">
        <v>30</v>
      </c>
      <c r="F68" t="s">
        <v>46</v>
      </c>
      <c r="G68" t="s">
        <v>19</v>
      </c>
      <c r="H68" s="2">
        <v>46028</v>
      </c>
      <c r="I68" s="3">
        <v>170</v>
      </c>
      <c r="J68">
        <v>5</v>
      </c>
      <c r="K68" t="s">
        <v>26</v>
      </c>
      <c r="L68" t="s">
        <v>32</v>
      </c>
      <c r="M68">
        <v>5</v>
      </c>
    </row>
    <row r="69" spans="1:13">
      <c r="A69" t="s">
        <v>331</v>
      </c>
      <c r="B69" t="s">
        <v>300</v>
      </c>
      <c r="C69" t="s">
        <v>15</v>
      </c>
      <c r="D69" t="s">
        <v>16</v>
      </c>
      <c r="E69" t="s">
        <v>17</v>
      </c>
      <c r="F69" t="s">
        <v>40</v>
      </c>
      <c r="G69" t="s">
        <v>41</v>
      </c>
      <c r="H69" s="2">
        <v>46025</v>
      </c>
      <c r="I69" s="3">
        <v>420</v>
      </c>
      <c r="J69">
        <v>18</v>
      </c>
      <c r="K69" t="s">
        <v>26</v>
      </c>
      <c r="L69" t="s">
        <v>50</v>
      </c>
      <c r="M69">
        <v>3</v>
      </c>
    </row>
    <row r="70" spans="1:13">
      <c r="A70" t="s">
        <v>420</v>
      </c>
      <c r="B70" t="s">
        <v>62</v>
      </c>
      <c r="C70" t="s">
        <v>15</v>
      </c>
      <c r="D70" t="s">
        <v>25</v>
      </c>
      <c r="E70" t="s">
        <v>30</v>
      </c>
      <c r="F70" t="s">
        <v>36</v>
      </c>
      <c r="G70" t="s">
        <v>19</v>
      </c>
      <c r="H70" s="2">
        <v>46023</v>
      </c>
      <c r="I70" s="3">
        <v>570</v>
      </c>
      <c r="J70">
        <v>21</v>
      </c>
      <c r="K70" t="s">
        <v>26</v>
      </c>
      <c r="L70" t="s">
        <v>32</v>
      </c>
      <c r="M70">
        <v>2</v>
      </c>
    </row>
    <row r="71" spans="1:13">
      <c r="A71" t="s">
        <v>33</v>
      </c>
      <c r="B71" t="s">
        <v>34</v>
      </c>
      <c r="C71" t="s">
        <v>35</v>
      </c>
      <c r="D71" t="s">
        <v>25</v>
      </c>
      <c r="E71" t="s">
        <v>17</v>
      </c>
      <c r="F71" t="s">
        <v>36</v>
      </c>
      <c r="G71" t="s">
        <v>19</v>
      </c>
      <c r="H71" s="2">
        <v>46017</v>
      </c>
      <c r="I71" s="3">
        <v>375</v>
      </c>
      <c r="J71">
        <v>8</v>
      </c>
      <c r="K71" t="s">
        <v>26</v>
      </c>
      <c r="L71" t="s">
        <v>32</v>
      </c>
      <c r="M71">
        <v>3</v>
      </c>
    </row>
    <row r="72" spans="1:13">
      <c r="A72" t="s">
        <v>195</v>
      </c>
      <c r="B72" t="s">
        <v>196</v>
      </c>
      <c r="C72" t="s">
        <v>24</v>
      </c>
      <c r="D72" t="s">
        <v>25</v>
      </c>
      <c r="E72" t="s">
        <v>88</v>
      </c>
      <c r="F72" t="s">
        <v>46</v>
      </c>
      <c r="G72" t="s">
        <v>41</v>
      </c>
      <c r="H72" s="2">
        <v>46013</v>
      </c>
      <c r="I72" s="3">
        <v>300</v>
      </c>
      <c r="J72">
        <v>22</v>
      </c>
      <c r="K72" t="s">
        <v>26</v>
      </c>
      <c r="L72" t="s">
        <v>32</v>
      </c>
      <c r="M72">
        <v>3</v>
      </c>
    </row>
    <row r="73" spans="1:13">
      <c r="A73" t="s">
        <v>488</v>
      </c>
      <c r="B73" t="s">
        <v>127</v>
      </c>
      <c r="C73" t="s">
        <v>35</v>
      </c>
      <c r="D73" t="s">
        <v>16</v>
      </c>
      <c r="E73" t="s">
        <v>30</v>
      </c>
      <c r="F73" t="s">
        <v>40</v>
      </c>
      <c r="G73" t="s">
        <v>31</v>
      </c>
      <c r="H73" s="2">
        <v>46011</v>
      </c>
      <c r="I73" s="3">
        <v>200</v>
      </c>
      <c r="J73">
        <v>6</v>
      </c>
      <c r="K73" t="s">
        <v>26</v>
      </c>
      <c r="L73" t="s">
        <v>32</v>
      </c>
      <c r="M73">
        <v>3</v>
      </c>
    </row>
    <row r="74" spans="1:13">
      <c r="A74" t="s">
        <v>517</v>
      </c>
      <c r="B74" t="s">
        <v>518</v>
      </c>
      <c r="C74" t="s">
        <v>15</v>
      </c>
      <c r="D74" t="s">
        <v>16</v>
      </c>
      <c r="E74" t="s">
        <v>53</v>
      </c>
      <c r="F74" t="s">
        <v>36</v>
      </c>
      <c r="G74" t="s">
        <v>19</v>
      </c>
      <c r="H74" s="2">
        <v>46011</v>
      </c>
      <c r="I74" s="3">
        <v>1195</v>
      </c>
      <c r="J74">
        <v>60</v>
      </c>
      <c r="K74" t="s">
        <v>26</v>
      </c>
      <c r="L74" t="s">
        <v>21</v>
      </c>
      <c r="M74">
        <v>4</v>
      </c>
    </row>
    <row r="75" spans="1:13">
      <c r="A75" t="s">
        <v>391</v>
      </c>
      <c r="B75" t="s">
        <v>392</v>
      </c>
      <c r="C75" t="s">
        <v>44</v>
      </c>
      <c r="D75" t="s">
        <v>16</v>
      </c>
      <c r="E75" t="s">
        <v>17</v>
      </c>
      <c r="F75" t="s">
        <v>40</v>
      </c>
      <c r="G75" t="s">
        <v>31</v>
      </c>
      <c r="H75" s="2">
        <v>46007</v>
      </c>
      <c r="I75" s="3">
        <v>120</v>
      </c>
      <c r="J75">
        <v>1</v>
      </c>
      <c r="K75" t="s">
        <v>26</v>
      </c>
      <c r="L75" t="s">
        <v>32</v>
      </c>
      <c r="M75">
        <v>3</v>
      </c>
    </row>
    <row r="76" spans="1:13">
      <c r="A76" t="s">
        <v>439</v>
      </c>
      <c r="B76" t="s">
        <v>34</v>
      </c>
      <c r="C76" t="s">
        <v>24</v>
      </c>
      <c r="D76" t="s">
        <v>25</v>
      </c>
      <c r="E76" t="s">
        <v>56</v>
      </c>
      <c r="F76" t="s">
        <v>60</v>
      </c>
      <c r="G76" t="s">
        <v>31</v>
      </c>
      <c r="H76" s="2">
        <v>46003</v>
      </c>
      <c r="I76" s="3">
        <v>175</v>
      </c>
      <c r="J76">
        <v>19</v>
      </c>
      <c r="K76" t="s">
        <v>26</v>
      </c>
      <c r="L76" t="s">
        <v>32</v>
      </c>
      <c r="M76">
        <v>3</v>
      </c>
    </row>
    <row r="77" spans="1:13">
      <c r="A77" t="s">
        <v>525</v>
      </c>
      <c r="B77" t="s">
        <v>175</v>
      </c>
      <c r="C77" t="s">
        <v>44</v>
      </c>
      <c r="D77" t="s">
        <v>45</v>
      </c>
      <c r="E77" t="s">
        <v>39</v>
      </c>
      <c r="F77" t="s">
        <v>36</v>
      </c>
      <c r="G77" t="s">
        <v>41</v>
      </c>
      <c r="H77" s="2">
        <v>45998</v>
      </c>
      <c r="I77" s="3">
        <v>395</v>
      </c>
      <c r="J77">
        <v>4</v>
      </c>
      <c r="K77" t="s">
        <v>26</v>
      </c>
      <c r="L77" t="s">
        <v>32</v>
      </c>
      <c r="M77">
        <v>4</v>
      </c>
    </row>
    <row r="78" spans="1:13">
      <c r="A78" t="s">
        <v>454</v>
      </c>
      <c r="B78" t="s">
        <v>455</v>
      </c>
      <c r="C78" t="s">
        <v>44</v>
      </c>
      <c r="D78" t="s">
        <v>25</v>
      </c>
      <c r="E78" t="s">
        <v>39</v>
      </c>
      <c r="F78" t="s">
        <v>36</v>
      </c>
      <c r="G78" t="s">
        <v>31</v>
      </c>
      <c r="H78" s="2">
        <v>45990</v>
      </c>
      <c r="I78" s="3">
        <v>1045</v>
      </c>
      <c r="J78">
        <v>71</v>
      </c>
      <c r="K78" t="s">
        <v>26</v>
      </c>
      <c r="L78" t="s">
        <v>32</v>
      </c>
      <c r="M78">
        <v>3</v>
      </c>
    </row>
    <row r="79" spans="1:13">
      <c r="A79" t="s">
        <v>375</v>
      </c>
      <c r="B79" t="s">
        <v>376</v>
      </c>
      <c r="C79" t="s">
        <v>44</v>
      </c>
      <c r="D79" t="s">
        <v>16</v>
      </c>
      <c r="E79" t="s">
        <v>17</v>
      </c>
      <c r="F79" t="s">
        <v>36</v>
      </c>
      <c r="G79" t="s">
        <v>19</v>
      </c>
      <c r="H79" s="2">
        <v>45989</v>
      </c>
      <c r="I79" s="3">
        <v>700</v>
      </c>
      <c r="J79">
        <v>74</v>
      </c>
      <c r="K79" t="s">
        <v>20</v>
      </c>
      <c r="L79" t="s">
        <v>21</v>
      </c>
      <c r="M79">
        <v>4</v>
      </c>
    </row>
    <row r="80" spans="1:13">
      <c r="A80" t="s">
        <v>492</v>
      </c>
      <c r="B80" t="s">
        <v>374</v>
      </c>
      <c r="C80" t="s">
        <v>44</v>
      </c>
      <c r="D80" t="s">
        <v>29</v>
      </c>
      <c r="E80" t="s">
        <v>39</v>
      </c>
      <c r="F80" t="s">
        <v>46</v>
      </c>
      <c r="G80" t="s">
        <v>19</v>
      </c>
      <c r="H80" s="2">
        <v>45988</v>
      </c>
      <c r="I80" s="3">
        <v>200</v>
      </c>
      <c r="J80">
        <v>15</v>
      </c>
      <c r="K80" t="s">
        <v>26</v>
      </c>
      <c r="L80" t="s">
        <v>50</v>
      </c>
      <c r="M80">
        <v>3</v>
      </c>
    </row>
    <row r="81" spans="1:13">
      <c r="A81" t="s">
        <v>440</v>
      </c>
      <c r="B81" t="s">
        <v>160</v>
      </c>
      <c r="C81" t="s">
        <v>15</v>
      </c>
      <c r="D81" t="s">
        <v>59</v>
      </c>
      <c r="E81" t="s">
        <v>17</v>
      </c>
      <c r="F81" t="s">
        <v>60</v>
      </c>
      <c r="G81" t="s">
        <v>19</v>
      </c>
      <c r="H81" s="2">
        <v>45988</v>
      </c>
      <c r="I81" s="3">
        <v>320</v>
      </c>
      <c r="J81">
        <v>21</v>
      </c>
      <c r="K81" t="s">
        <v>26</v>
      </c>
      <c r="L81" t="s">
        <v>32</v>
      </c>
      <c r="M81">
        <v>3</v>
      </c>
    </row>
    <row r="82" spans="1:13">
      <c r="A82" t="s">
        <v>462</v>
      </c>
      <c r="B82" t="s">
        <v>361</v>
      </c>
      <c r="C82" t="s">
        <v>24</v>
      </c>
      <c r="D82" t="s">
        <v>29</v>
      </c>
      <c r="E82" t="s">
        <v>56</v>
      </c>
      <c r="F82" t="s">
        <v>18</v>
      </c>
      <c r="G82" t="s">
        <v>19</v>
      </c>
      <c r="H82" s="2">
        <v>45987</v>
      </c>
      <c r="I82" s="3">
        <v>340</v>
      </c>
      <c r="J82">
        <v>17</v>
      </c>
      <c r="K82" t="s">
        <v>26</v>
      </c>
      <c r="L82" t="s">
        <v>32</v>
      </c>
      <c r="M82">
        <v>2</v>
      </c>
    </row>
    <row r="83" spans="1:13">
      <c r="A83" t="s">
        <v>111</v>
      </c>
      <c r="B83" t="s">
        <v>112</v>
      </c>
      <c r="C83" t="s">
        <v>15</v>
      </c>
      <c r="D83" t="s">
        <v>49</v>
      </c>
      <c r="E83" t="s">
        <v>88</v>
      </c>
      <c r="F83" t="s">
        <v>36</v>
      </c>
      <c r="G83" t="s">
        <v>19</v>
      </c>
      <c r="H83" s="2">
        <v>45983</v>
      </c>
      <c r="I83" s="3">
        <v>1045</v>
      </c>
      <c r="J83">
        <v>73</v>
      </c>
      <c r="K83" t="s">
        <v>26</v>
      </c>
      <c r="L83" t="s">
        <v>21</v>
      </c>
      <c r="M83">
        <v>4</v>
      </c>
    </row>
    <row r="84" spans="1:13">
      <c r="A84" t="s">
        <v>447</v>
      </c>
      <c r="B84" t="s">
        <v>223</v>
      </c>
      <c r="C84" t="s">
        <v>44</v>
      </c>
      <c r="D84" t="s">
        <v>49</v>
      </c>
      <c r="E84" t="s">
        <v>53</v>
      </c>
      <c r="F84" t="s">
        <v>36</v>
      </c>
      <c r="G84" t="s">
        <v>31</v>
      </c>
      <c r="H84" s="2">
        <v>45974</v>
      </c>
      <c r="I84" s="3">
        <v>630</v>
      </c>
      <c r="J84">
        <v>56</v>
      </c>
      <c r="K84" t="s">
        <v>26</v>
      </c>
      <c r="L84" t="s">
        <v>21</v>
      </c>
      <c r="M84">
        <v>4</v>
      </c>
    </row>
    <row r="85" spans="1:13">
      <c r="A85" t="s">
        <v>538</v>
      </c>
      <c r="B85" t="s">
        <v>164</v>
      </c>
      <c r="C85" t="s">
        <v>24</v>
      </c>
      <c r="D85" t="s">
        <v>25</v>
      </c>
      <c r="E85" t="s">
        <v>53</v>
      </c>
      <c r="F85" t="s">
        <v>36</v>
      </c>
      <c r="G85" t="s">
        <v>31</v>
      </c>
      <c r="H85" s="2">
        <v>45968</v>
      </c>
      <c r="I85" s="3">
        <v>375</v>
      </c>
      <c r="J85">
        <v>25</v>
      </c>
      <c r="K85" t="s">
        <v>20</v>
      </c>
      <c r="L85" t="s">
        <v>32</v>
      </c>
      <c r="M85">
        <v>4</v>
      </c>
    </row>
    <row r="86" spans="1:13">
      <c r="A86" t="s">
        <v>132</v>
      </c>
      <c r="B86" t="s">
        <v>133</v>
      </c>
      <c r="C86" t="s">
        <v>35</v>
      </c>
      <c r="D86" t="s">
        <v>45</v>
      </c>
      <c r="E86" t="s">
        <v>30</v>
      </c>
      <c r="F86" t="s">
        <v>40</v>
      </c>
      <c r="G86" t="s">
        <v>41</v>
      </c>
      <c r="H86" s="2">
        <v>45966</v>
      </c>
      <c r="I86" s="3">
        <v>375</v>
      </c>
      <c r="J86">
        <v>6</v>
      </c>
      <c r="K86" t="s">
        <v>20</v>
      </c>
      <c r="L86" t="s">
        <v>32</v>
      </c>
      <c r="M86">
        <v>3</v>
      </c>
    </row>
    <row r="87" spans="1:13">
      <c r="A87" t="s">
        <v>446</v>
      </c>
      <c r="B87" t="s">
        <v>81</v>
      </c>
      <c r="C87" t="s">
        <v>24</v>
      </c>
      <c r="D87" t="s">
        <v>49</v>
      </c>
      <c r="E87" t="s">
        <v>39</v>
      </c>
      <c r="F87" t="s">
        <v>18</v>
      </c>
      <c r="G87" t="s">
        <v>19</v>
      </c>
      <c r="H87" s="2">
        <v>45966</v>
      </c>
      <c r="I87" s="3">
        <v>860</v>
      </c>
      <c r="J87">
        <v>75</v>
      </c>
      <c r="K87" t="s">
        <v>26</v>
      </c>
      <c r="L87" t="s">
        <v>50</v>
      </c>
      <c r="M87">
        <v>3</v>
      </c>
    </row>
    <row r="88" spans="1:13">
      <c r="A88" t="s">
        <v>91</v>
      </c>
      <c r="B88" t="s">
        <v>92</v>
      </c>
      <c r="C88" t="s">
        <v>15</v>
      </c>
      <c r="D88" t="s">
        <v>45</v>
      </c>
      <c r="E88" t="s">
        <v>17</v>
      </c>
      <c r="F88" t="s">
        <v>18</v>
      </c>
      <c r="G88" t="s">
        <v>41</v>
      </c>
      <c r="H88" s="2">
        <v>45966</v>
      </c>
      <c r="I88" s="3">
        <v>1480</v>
      </c>
      <c r="J88">
        <v>72</v>
      </c>
      <c r="K88" t="s">
        <v>26</v>
      </c>
      <c r="L88" t="s">
        <v>32</v>
      </c>
      <c r="M88">
        <v>4</v>
      </c>
    </row>
    <row r="89" spans="1:13">
      <c r="A89" t="s">
        <v>272</v>
      </c>
      <c r="B89" t="s">
        <v>110</v>
      </c>
      <c r="C89" t="s">
        <v>15</v>
      </c>
      <c r="D89" t="s">
        <v>25</v>
      </c>
      <c r="E89" t="s">
        <v>88</v>
      </c>
      <c r="F89" t="s">
        <v>46</v>
      </c>
      <c r="G89" t="s">
        <v>19</v>
      </c>
      <c r="H89" s="2">
        <v>45961</v>
      </c>
      <c r="I89" s="3">
        <v>275</v>
      </c>
      <c r="J89">
        <v>25</v>
      </c>
      <c r="K89" t="s">
        <v>26</v>
      </c>
      <c r="L89" t="s">
        <v>32</v>
      </c>
      <c r="M89">
        <v>4</v>
      </c>
    </row>
    <row r="90" spans="1:13">
      <c r="A90" t="s">
        <v>443</v>
      </c>
      <c r="B90" t="s">
        <v>409</v>
      </c>
      <c r="C90" t="s">
        <v>44</v>
      </c>
      <c r="D90" t="s">
        <v>49</v>
      </c>
      <c r="E90" t="s">
        <v>88</v>
      </c>
      <c r="F90" t="s">
        <v>36</v>
      </c>
      <c r="G90" t="s">
        <v>41</v>
      </c>
      <c r="H90" s="2">
        <v>45960</v>
      </c>
      <c r="I90" s="3">
        <v>620</v>
      </c>
      <c r="J90">
        <v>20</v>
      </c>
      <c r="K90" t="s">
        <v>26</v>
      </c>
      <c r="L90" t="s">
        <v>32</v>
      </c>
      <c r="M90">
        <v>4</v>
      </c>
    </row>
    <row r="91" spans="1:13">
      <c r="A91" t="s">
        <v>161</v>
      </c>
      <c r="B91" t="s">
        <v>131</v>
      </c>
      <c r="C91" t="s">
        <v>35</v>
      </c>
      <c r="D91" t="s">
        <v>45</v>
      </c>
      <c r="E91" t="s">
        <v>88</v>
      </c>
      <c r="F91" t="s">
        <v>46</v>
      </c>
      <c r="G91" t="s">
        <v>19</v>
      </c>
      <c r="H91" s="2">
        <v>45958</v>
      </c>
      <c r="I91" s="3">
        <v>135</v>
      </c>
      <c r="J91">
        <v>3</v>
      </c>
      <c r="K91" t="s">
        <v>26</v>
      </c>
      <c r="L91" t="s">
        <v>32</v>
      </c>
      <c r="M91">
        <v>3</v>
      </c>
    </row>
    <row r="92" spans="1:13">
      <c r="A92" t="s">
        <v>431</v>
      </c>
      <c r="B92" t="s">
        <v>379</v>
      </c>
      <c r="C92" t="s">
        <v>15</v>
      </c>
      <c r="D92" t="s">
        <v>25</v>
      </c>
      <c r="E92" t="s">
        <v>39</v>
      </c>
      <c r="F92" t="s">
        <v>18</v>
      </c>
      <c r="G92" t="s">
        <v>31</v>
      </c>
      <c r="H92" s="2">
        <v>45954</v>
      </c>
      <c r="I92" s="3">
        <v>145</v>
      </c>
      <c r="J92">
        <v>11</v>
      </c>
      <c r="K92" t="s">
        <v>26</v>
      </c>
      <c r="L92" t="s">
        <v>32</v>
      </c>
      <c r="M92">
        <v>4</v>
      </c>
    </row>
    <row r="93" spans="1:13">
      <c r="A93" t="s">
        <v>139</v>
      </c>
      <c r="B93" t="s">
        <v>140</v>
      </c>
      <c r="C93" t="s">
        <v>44</v>
      </c>
      <c r="D93" t="s">
        <v>29</v>
      </c>
      <c r="E93" t="s">
        <v>88</v>
      </c>
      <c r="F93" t="s">
        <v>46</v>
      </c>
      <c r="G93" t="s">
        <v>19</v>
      </c>
      <c r="H93" s="2">
        <v>45950</v>
      </c>
      <c r="I93" s="3">
        <v>195</v>
      </c>
      <c r="J93">
        <v>5</v>
      </c>
      <c r="K93" t="s">
        <v>26</v>
      </c>
      <c r="L93" t="s">
        <v>32</v>
      </c>
      <c r="M93">
        <v>5</v>
      </c>
    </row>
    <row r="94" spans="1:13">
      <c r="A94" t="s">
        <v>503</v>
      </c>
      <c r="B94" t="s">
        <v>366</v>
      </c>
      <c r="C94" t="s">
        <v>15</v>
      </c>
      <c r="D94" t="s">
        <v>49</v>
      </c>
      <c r="E94" t="s">
        <v>30</v>
      </c>
      <c r="F94" t="s">
        <v>40</v>
      </c>
      <c r="G94" t="s">
        <v>31</v>
      </c>
      <c r="H94" s="2">
        <v>45946</v>
      </c>
      <c r="I94" s="3">
        <v>255</v>
      </c>
      <c r="J94">
        <v>20</v>
      </c>
      <c r="K94" t="s">
        <v>26</v>
      </c>
      <c r="L94" t="s">
        <v>21</v>
      </c>
      <c r="M94">
        <v>3</v>
      </c>
    </row>
    <row r="95" spans="1:13">
      <c r="A95" t="s">
        <v>229</v>
      </c>
      <c r="B95" t="s">
        <v>230</v>
      </c>
      <c r="C95" t="s">
        <v>35</v>
      </c>
      <c r="D95" t="s">
        <v>29</v>
      </c>
      <c r="E95" t="s">
        <v>88</v>
      </c>
      <c r="F95" t="s">
        <v>40</v>
      </c>
      <c r="G95" t="s">
        <v>19</v>
      </c>
      <c r="H95" s="2">
        <v>45935</v>
      </c>
      <c r="I95" s="3">
        <v>195</v>
      </c>
      <c r="J95">
        <v>2</v>
      </c>
      <c r="K95" t="s">
        <v>26</v>
      </c>
      <c r="L95" t="s">
        <v>32</v>
      </c>
      <c r="M95">
        <v>4</v>
      </c>
    </row>
    <row r="96" spans="1:13">
      <c r="A96" t="s">
        <v>284</v>
      </c>
      <c r="B96" t="s">
        <v>142</v>
      </c>
      <c r="C96" t="s">
        <v>24</v>
      </c>
      <c r="D96" t="s">
        <v>25</v>
      </c>
      <c r="E96" t="s">
        <v>56</v>
      </c>
      <c r="F96" t="s">
        <v>36</v>
      </c>
      <c r="G96" t="s">
        <v>31</v>
      </c>
      <c r="H96" s="2">
        <v>45922</v>
      </c>
      <c r="I96" s="3">
        <v>645</v>
      </c>
      <c r="J96">
        <v>79</v>
      </c>
      <c r="K96" t="s">
        <v>20</v>
      </c>
      <c r="L96" t="s">
        <v>50</v>
      </c>
      <c r="M96">
        <v>3</v>
      </c>
    </row>
    <row r="97" spans="1:13">
      <c r="A97" t="s">
        <v>347</v>
      </c>
      <c r="B97" t="s">
        <v>172</v>
      </c>
      <c r="C97" t="s">
        <v>24</v>
      </c>
      <c r="D97" t="s">
        <v>49</v>
      </c>
      <c r="E97" t="s">
        <v>56</v>
      </c>
      <c r="F97" t="s">
        <v>18</v>
      </c>
      <c r="G97" t="s">
        <v>31</v>
      </c>
      <c r="H97" s="2">
        <v>45914</v>
      </c>
      <c r="I97" s="3">
        <v>515</v>
      </c>
      <c r="J97">
        <v>39</v>
      </c>
      <c r="K97" t="s">
        <v>20</v>
      </c>
      <c r="L97" t="s">
        <v>50</v>
      </c>
      <c r="M97">
        <v>4</v>
      </c>
    </row>
    <row r="98" spans="1:13">
      <c r="A98" t="s">
        <v>270</v>
      </c>
      <c r="B98" t="s">
        <v>73</v>
      </c>
      <c r="C98" t="s">
        <v>15</v>
      </c>
      <c r="D98" t="s">
        <v>59</v>
      </c>
      <c r="E98" t="s">
        <v>30</v>
      </c>
      <c r="F98" t="s">
        <v>46</v>
      </c>
      <c r="G98" t="s">
        <v>41</v>
      </c>
      <c r="H98" s="2">
        <v>45908</v>
      </c>
      <c r="I98" s="3">
        <v>290</v>
      </c>
      <c r="J98">
        <v>19</v>
      </c>
      <c r="K98" t="s">
        <v>26</v>
      </c>
      <c r="L98" t="s">
        <v>32</v>
      </c>
      <c r="M98">
        <v>4</v>
      </c>
    </row>
    <row r="99" spans="1:13">
      <c r="A99" t="s">
        <v>186</v>
      </c>
      <c r="B99" t="s">
        <v>187</v>
      </c>
      <c r="C99" t="s">
        <v>44</v>
      </c>
      <c r="D99" t="s">
        <v>59</v>
      </c>
      <c r="E99" t="s">
        <v>30</v>
      </c>
      <c r="F99" t="s">
        <v>60</v>
      </c>
      <c r="G99" t="s">
        <v>31</v>
      </c>
      <c r="H99" s="2">
        <v>45907</v>
      </c>
      <c r="I99" s="3">
        <v>125</v>
      </c>
      <c r="J99">
        <v>7</v>
      </c>
      <c r="K99" t="s">
        <v>26</v>
      </c>
      <c r="L99" t="s">
        <v>21</v>
      </c>
      <c r="M99">
        <v>3</v>
      </c>
    </row>
    <row r="100" spans="1:13">
      <c r="A100" t="s">
        <v>263</v>
      </c>
      <c r="B100" t="s">
        <v>146</v>
      </c>
      <c r="C100" t="s">
        <v>44</v>
      </c>
      <c r="D100" t="s">
        <v>59</v>
      </c>
      <c r="E100" t="s">
        <v>88</v>
      </c>
      <c r="F100" t="s">
        <v>40</v>
      </c>
      <c r="G100" t="s">
        <v>19</v>
      </c>
      <c r="H100" s="2">
        <v>45906</v>
      </c>
      <c r="I100" s="3">
        <v>145</v>
      </c>
      <c r="J100">
        <v>12</v>
      </c>
      <c r="K100" t="s">
        <v>26</v>
      </c>
      <c r="L100" t="s">
        <v>32</v>
      </c>
      <c r="M100">
        <v>4</v>
      </c>
    </row>
    <row r="101" spans="1:13">
      <c r="A101" t="s">
        <v>294</v>
      </c>
      <c r="B101" t="s">
        <v>295</v>
      </c>
      <c r="C101" t="s">
        <v>24</v>
      </c>
      <c r="D101" t="s">
        <v>16</v>
      </c>
      <c r="E101" t="s">
        <v>39</v>
      </c>
      <c r="F101" t="s">
        <v>60</v>
      </c>
      <c r="G101" t="s">
        <v>31</v>
      </c>
      <c r="H101" s="2">
        <v>45905</v>
      </c>
      <c r="I101" s="3">
        <v>235</v>
      </c>
      <c r="J101">
        <v>14</v>
      </c>
      <c r="K101" t="s">
        <v>26</v>
      </c>
      <c r="L101" t="s">
        <v>21</v>
      </c>
      <c r="M101">
        <v>5</v>
      </c>
    </row>
    <row r="102" spans="1:13">
      <c r="A102" t="s">
        <v>452</v>
      </c>
      <c r="B102" t="s">
        <v>34</v>
      </c>
      <c r="C102" t="s">
        <v>24</v>
      </c>
      <c r="D102" t="s">
        <v>59</v>
      </c>
      <c r="E102" t="s">
        <v>30</v>
      </c>
      <c r="F102" t="s">
        <v>40</v>
      </c>
      <c r="G102" t="s">
        <v>19</v>
      </c>
      <c r="H102" s="2">
        <v>45905</v>
      </c>
      <c r="I102" s="3">
        <v>355</v>
      </c>
      <c r="J102">
        <v>24</v>
      </c>
      <c r="K102" t="s">
        <v>26</v>
      </c>
      <c r="L102" t="s">
        <v>50</v>
      </c>
      <c r="M102">
        <v>4</v>
      </c>
    </row>
    <row r="103" spans="1:13">
      <c r="A103" t="s">
        <v>404</v>
      </c>
      <c r="B103" t="s">
        <v>405</v>
      </c>
      <c r="C103" t="s">
        <v>24</v>
      </c>
      <c r="D103" t="s">
        <v>59</v>
      </c>
      <c r="E103" t="s">
        <v>88</v>
      </c>
      <c r="F103" t="s">
        <v>18</v>
      </c>
      <c r="G103" t="s">
        <v>19</v>
      </c>
      <c r="H103" s="2">
        <v>45902</v>
      </c>
      <c r="I103" s="3">
        <v>1385</v>
      </c>
      <c r="J103">
        <v>76</v>
      </c>
      <c r="K103" t="s">
        <v>26</v>
      </c>
      <c r="L103" t="s">
        <v>32</v>
      </c>
      <c r="M103">
        <v>4</v>
      </c>
    </row>
    <row r="104" spans="1:13">
      <c r="A104" t="s">
        <v>282</v>
      </c>
      <c r="B104" t="s">
        <v>283</v>
      </c>
      <c r="C104" t="s">
        <v>24</v>
      </c>
      <c r="D104" t="s">
        <v>59</v>
      </c>
      <c r="E104" t="s">
        <v>56</v>
      </c>
      <c r="F104" t="s">
        <v>40</v>
      </c>
      <c r="G104" t="s">
        <v>41</v>
      </c>
      <c r="H104" s="2">
        <v>45901</v>
      </c>
      <c r="I104" s="3">
        <v>470</v>
      </c>
      <c r="J104">
        <v>11</v>
      </c>
      <c r="K104" t="s">
        <v>20</v>
      </c>
      <c r="L104" t="s">
        <v>32</v>
      </c>
      <c r="M104">
        <v>4</v>
      </c>
    </row>
    <row r="105" spans="1:13">
      <c r="A105" t="s">
        <v>211</v>
      </c>
      <c r="B105" t="s">
        <v>212</v>
      </c>
      <c r="C105" t="s">
        <v>15</v>
      </c>
      <c r="D105" t="s">
        <v>25</v>
      </c>
      <c r="E105" t="s">
        <v>53</v>
      </c>
      <c r="F105" t="s">
        <v>40</v>
      </c>
      <c r="G105" t="s">
        <v>19</v>
      </c>
      <c r="H105" s="2">
        <v>45898</v>
      </c>
      <c r="I105" s="3">
        <v>245</v>
      </c>
      <c r="J105">
        <v>6</v>
      </c>
      <c r="K105" t="s">
        <v>20</v>
      </c>
      <c r="L105" t="s">
        <v>32</v>
      </c>
      <c r="M105">
        <v>4</v>
      </c>
    </row>
    <row r="106" spans="1:13">
      <c r="A106" t="s">
        <v>70</v>
      </c>
      <c r="B106" t="s">
        <v>58</v>
      </c>
      <c r="C106" t="s">
        <v>35</v>
      </c>
      <c r="D106" t="s">
        <v>25</v>
      </c>
      <c r="E106" t="s">
        <v>53</v>
      </c>
      <c r="F106" t="s">
        <v>46</v>
      </c>
      <c r="G106" t="s">
        <v>41</v>
      </c>
      <c r="H106" s="2">
        <v>45895</v>
      </c>
      <c r="I106" s="3">
        <v>520</v>
      </c>
      <c r="J106">
        <v>25</v>
      </c>
      <c r="K106" t="s">
        <v>26</v>
      </c>
      <c r="L106" t="s">
        <v>32</v>
      </c>
      <c r="M106">
        <v>3</v>
      </c>
    </row>
    <row r="107" spans="1:13">
      <c r="A107" t="s">
        <v>83</v>
      </c>
      <c r="B107" t="s">
        <v>84</v>
      </c>
      <c r="C107" t="s">
        <v>35</v>
      </c>
      <c r="D107" t="s">
        <v>49</v>
      </c>
      <c r="E107" t="s">
        <v>53</v>
      </c>
      <c r="F107" t="s">
        <v>18</v>
      </c>
      <c r="G107" t="s">
        <v>41</v>
      </c>
      <c r="H107" s="2">
        <v>45894</v>
      </c>
      <c r="I107" s="3">
        <v>435</v>
      </c>
      <c r="J107">
        <v>42</v>
      </c>
      <c r="K107" t="s">
        <v>26</v>
      </c>
      <c r="L107" t="s">
        <v>50</v>
      </c>
      <c r="M107">
        <v>4</v>
      </c>
    </row>
    <row r="108" spans="1:13">
      <c r="A108" t="s">
        <v>344</v>
      </c>
      <c r="B108" t="s">
        <v>345</v>
      </c>
      <c r="C108" t="s">
        <v>15</v>
      </c>
      <c r="D108" t="s">
        <v>29</v>
      </c>
      <c r="E108" t="s">
        <v>17</v>
      </c>
      <c r="F108" t="s">
        <v>60</v>
      </c>
      <c r="G108" t="s">
        <v>31</v>
      </c>
      <c r="H108" s="2">
        <v>45894</v>
      </c>
      <c r="I108" s="3">
        <v>450</v>
      </c>
      <c r="J108">
        <v>20</v>
      </c>
      <c r="K108" t="s">
        <v>26</v>
      </c>
      <c r="L108" t="s">
        <v>32</v>
      </c>
      <c r="M108">
        <v>4</v>
      </c>
    </row>
    <row r="109" spans="1:13">
      <c r="A109" t="s">
        <v>359</v>
      </c>
      <c r="B109" t="s">
        <v>104</v>
      </c>
      <c r="C109" t="s">
        <v>24</v>
      </c>
      <c r="D109" t="s">
        <v>16</v>
      </c>
      <c r="E109" t="s">
        <v>88</v>
      </c>
      <c r="F109" t="s">
        <v>40</v>
      </c>
      <c r="G109" t="s">
        <v>41</v>
      </c>
      <c r="H109" s="2">
        <v>45893</v>
      </c>
      <c r="I109" s="3">
        <v>410</v>
      </c>
      <c r="J109">
        <v>10</v>
      </c>
      <c r="K109" t="s">
        <v>26</v>
      </c>
      <c r="L109" t="s">
        <v>21</v>
      </c>
      <c r="M109">
        <v>4</v>
      </c>
    </row>
    <row r="110" spans="1:13">
      <c r="A110" t="s">
        <v>357</v>
      </c>
      <c r="B110" t="s">
        <v>358</v>
      </c>
      <c r="C110" t="s">
        <v>15</v>
      </c>
      <c r="D110" t="s">
        <v>16</v>
      </c>
      <c r="E110" t="s">
        <v>17</v>
      </c>
      <c r="F110" t="s">
        <v>60</v>
      </c>
      <c r="G110" t="s">
        <v>41</v>
      </c>
      <c r="H110" s="2">
        <v>45893</v>
      </c>
      <c r="I110" s="3">
        <v>590</v>
      </c>
      <c r="J110">
        <v>20</v>
      </c>
      <c r="K110" t="s">
        <v>26</v>
      </c>
      <c r="L110" t="s">
        <v>32</v>
      </c>
      <c r="M110">
        <v>5</v>
      </c>
    </row>
    <row r="111" spans="1:13">
      <c r="A111" t="s">
        <v>209</v>
      </c>
      <c r="B111" t="s">
        <v>210</v>
      </c>
      <c r="C111" t="s">
        <v>15</v>
      </c>
      <c r="D111" t="s">
        <v>16</v>
      </c>
      <c r="E111" t="s">
        <v>30</v>
      </c>
      <c r="F111" t="s">
        <v>60</v>
      </c>
      <c r="G111" t="s">
        <v>19</v>
      </c>
      <c r="H111" s="2">
        <v>45890</v>
      </c>
      <c r="I111" s="3">
        <v>355</v>
      </c>
      <c r="J111">
        <v>16</v>
      </c>
      <c r="K111" t="s">
        <v>26</v>
      </c>
      <c r="L111" t="s">
        <v>32</v>
      </c>
      <c r="M111">
        <v>2</v>
      </c>
    </row>
    <row r="112" spans="1:13">
      <c r="A112" t="s">
        <v>319</v>
      </c>
      <c r="B112" t="s">
        <v>216</v>
      </c>
      <c r="C112" t="s">
        <v>35</v>
      </c>
      <c r="D112" t="s">
        <v>29</v>
      </c>
      <c r="E112" t="s">
        <v>39</v>
      </c>
      <c r="F112" t="s">
        <v>18</v>
      </c>
      <c r="G112" t="s">
        <v>31</v>
      </c>
      <c r="H112" s="2">
        <v>45886</v>
      </c>
      <c r="I112" s="3">
        <v>425</v>
      </c>
      <c r="J112">
        <v>39</v>
      </c>
      <c r="K112" t="s">
        <v>26</v>
      </c>
      <c r="L112" t="s">
        <v>50</v>
      </c>
      <c r="M112">
        <v>4</v>
      </c>
    </row>
    <row r="113" spans="1:13">
      <c r="A113" t="s">
        <v>531</v>
      </c>
      <c r="B113" t="s">
        <v>73</v>
      </c>
      <c r="C113" t="s">
        <v>44</v>
      </c>
      <c r="D113" t="s">
        <v>59</v>
      </c>
      <c r="E113" t="s">
        <v>39</v>
      </c>
      <c r="F113" t="s">
        <v>60</v>
      </c>
      <c r="G113" t="s">
        <v>41</v>
      </c>
      <c r="H113" s="2">
        <v>45884</v>
      </c>
      <c r="I113" s="3">
        <v>385</v>
      </c>
      <c r="J113">
        <v>13</v>
      </c>
      <c r="K113" t="s">
        <v>26</v>
      </c>
      <c r="L113" t="s">
        <v>32</v>
      </c>
      <c r="M113">
        <v>4</v>
      </c>
    </row>
    <row r="114" spans="1:13">
      <c r="A114" t="s">
        <v>85</v>
      </c>
      <c r="C114" t="s">
        <v>24</v>
      </c>
      <c r="D114" t="s">
        <v>59</v>
      </c>
      <c r="E114" t="s">
        <v>30</v>
      </c>
      <c r="F114" t="s">
        <v>60</v>
      </c>
      <c r="G114" t="s">
        <v>31</v>
      </c>
      <c r="H114" s="2">
        <v>45878</v>
      </c>
      <c r="I114" s="3">
        <v>210</v>
      </c>
      <c r="J114">
        <v>9</v>
      </c>
      <c r="K114" t="s">
        <v>26</v>
      </c>
      <c r="L114" t="s">
        <v>21</v>
      </c>
      <c r="M114">
        <v>4</v>
      </c>
    </row>
    <row r="115" spans="1:13">
      <c r="A115" t="s">
        <v>318</v>
      </c>
      <c r="B115" t="s">
        <v>260</v>
      </c>
      <c r="C115" t="s">
        <v>24</v>
      </c>
      <c r="D115" t="s">
        <v>25</v>
      </c>
      <c r="E115" t="s">
        <v>17</v>
      </c>
      <c r="F115" t="s">
        <v>46</v>
      </c>
      <c r="G115" t="s">
        <v>41</v>
      </c>
      <c r="H115" s="2">
        <v>45876</v>
      </c>
      <c r="I115" s="3">
        <v>355</v>
      </c>
      <c r="J115">
        <v>19</v>
      </c>
      <c r="K115" t="s">
        <v>26</v>
      </c>
      <c r="L115" t="s">
        <v>32</v>
      </c>
      <c r="M115">
        <v>4</v>
      </c>
    </row>
    <row r="116" spans="1:13">
      <c r="A116" t="s">
        <v>519</v>
      </c>
      <c r="B116" t="s">
        <v>520</v>
      </c>
      <c r="C116" t="s">
        <v>35</v>
      </c>
      <c r="D116" t="s">
        <v>59</v>
      </c>
      <c r="E116" t="s">
        <v>39</v>
      </c>
      <c r="F116" t="s">
        <v>60</v>
      </c>
      <c r="G116" t="s">
        <v>41</v>
      </c>
      <c r="H116" s="2">
        <v>45875</v>
      </c>
      <c r="I116" s="3">
        <v>445</v>
      </c>
      <c r="J116">
        <v>15</v>
      </c>
      <c r="K116" t="s">
        <v>26</v>
      </c>
      <c r="L116" t="s">
        <v>50</v>
      </c>
      <c r="M116">
        <v>4</v>
      </c>
    </row>
    <row r="117" spans="1:13">
      <c r="A117" t="s">
        <v>82</v>
      </c>
      <c r="B117" t="s">
        <v>28</v>
      </c>
      <c r="C117" t="s">
        <v>24</v>
      </c>
      <c r="D117" t="s">
        <v>49</v>
      </c>
      <c r="E117" t="s">
        <v>39</v>
      </c>
      <c r="F117" t="s">
        <v>36</v>
      </c>
      <c r="G117" t="s">
        <v>31</v>
      </c>
      <c r="H117" s="2">
        <v>45874</v>
      </c>
      <c r="I117" s="3">
        <v>515</v>
      </c>
      <c r="J117">
        <v>45</v>
      </c>
      <c r="K117" t="s">
        <v>20</v>
      </c>
      <c r="L117" t="s">
        <v>32</v>
      </c>
      <c r="M117">
        <v>4</v>
      </c>
    </row>
    <row r="118" spans="1:13">
      <c r="A118" t="s">
        <v>463</v>
      </c>
      <c r="B118" t="s">
        <v>308</v>
      </c>
      <c r="C118" t="s">
        <v>35</v>
      </c>
      <c r="D118" t="s">
        <v>25</v>
      </c>
      <c r="E118" t="s">
        <v>53</v>
      </c>
      <c r="F118" t="s">
        <v>36</v>
      </c>
      <c r="G118" t="s">
        <v>31</v>
      </c>
      <c r="H118" s="2">
        <v>45874</v>
      </c>
      <c r="I118" s="3">
        <v>805</v>
      </c>
      <c r="J118">
        <v>38</v>
      </c>
      <c r="K118" t="s">
        <v>20</v>
      </c>
      <c r="L118" t="s">
        <v>32</v>
      </c>
      <c r="M118">
        <v>5</v>
      </c>
    </row>
    <row r="119" spans="1:13">
      <c r="A119" t="s">
        <v>326</v>
      </c>
      <c r="B119" t="s">
        <v>52</v>
      </c>
      <c r="C119" t="s">
        <v>44</v>
      </c>
      <c r="D119" t="s">
        <v>49</v>
      </c>
      <c r="E119" t="s">
        <v>39</v>
      </c>
      <c r="F119" t="s">
        <v>60</v>
      </c>
      <c r="G119" t="s">
        <v>31</v>
      </c>
      <c r="H119" s="2">
        <v>45868</v>
      </c>
      <c r="I119" s="3">
        <v>140</v>
      </c>
      <c r="J119">
        <v>7</v>
      </c>
      <c r="K119" t="s">
        <v>26</v>
      </c>
      <c r="L119" t="s">
        <v>21</v>
      </c>
      <c r="M119">
        <v>4</v>
      </c>
    </row>
    <row r="120" spans="1:13">
      <c r="A120" t="s">
        <v>247</v>
      </c>
      <c r="B120" t="s">
        <v>248</v>
      </c>
      <c r="C120" t="s">
        <v>24</v>
      </c>
      <c r="D120" t="s">
        <v>25</v>
      </c>
      <c r="E120" t="s">
        <v>17</v>
      </c>
      <c r="F120" t="s">
        <v>46</v>
      </c>
      <c r="G120" t="s">
        <v>19</v>
      </c>
      <c r="H120" s="2">
        <v>45867</v>
      </c>
      <c r="I120" s="3">
        <v>320</v>
      </c>
      <c r="J120">
        <v>15</v>
      </c>
      <c r="K120" t="s">
        <v>26</v>
      </c>
      <c r="L120" t="s">
        <v>21</v>
      </c>
      <c r="M120">
        <v>4</v>
      </c>
    </row>
    <row r="121" spans="1:13">
      <c r="A121" t="s">
        <v>369</v>
      </c>
      <c r="B121" t="s">
        <v>370</v>
      </c>
      <c r="C121" t="s">
        <v>15</v>
      </c>
      <c r="D121" t="s">
        <v>45</v>
      </c>
      <c r="E121" t="s">
        <v>30</v>
      </c>
      <c r="F121" t="s">
        <v>18</v>
      </c>
      <c r="G121" t="s">
        <v>31</v>
      </c>
      <c r="H121" s="2">
        <v>45867</v>
      </c>
      <c r="I121" s="3">
        <v>1290</v>
      </c>
      <c r="J121">
        <v>67</v>
      </c>
      <c r="K121" t="s">
        <v>26</v>
      </c>
      <c r="L121" t="s">
        <v>32</v>
      </c>
      <c r="M121">
        <v>2</v>
      </c>
    </row>
    <row r="122" spans="1:13">
      <c r="A122" t="s">
        <v>480</v>
      </c>
      <c r="B122" t="s">
        <v>233</v>
      </c>
      <c r="C122" t="s">
        <v>44</v>
      </c>
      <c r="D122" t="s">
        <v>16</v>
      </c>
      <c r="E122" t="s">
        <v>53</v>
      </c>
      <c r="F122" t="s">
        <v>46</v>
      </c>
      <c r="G122" t="s">
        <v>41</v>
      </c>
      <c r="H122" s="2">
        <v>45864</v>
      </c>
      <c r="I122" s="3">
        <v>250</v>
      </c>
      <c r="J122">
        <v>13</v>
      </c>
      <c r="K122" t="s">
        <v>20</v>
      </c>
      <c r="L122" t="s">
        <v>32</v>
      </c>
      <c r="M122">
        <v>4</v>
      </c>
    </row>
    <row r="123" spans="1:13">
      <c r="A123" t="s">
        <v>523</v>
      </c>
      <c r="B123" t="s">
        <v>524</v>
      </c>
      <c r="C123" t="s">
        <v>24</v>
      </c>
      <c r="D123" t="s">
        <v>59</v>
      </c>
      <c r="E123" t="s">
        <v>56</v>
      </c>
      <c r="F123" t="s">
        <v>60</v>
      </c>
      <c r="G123" t="s">
        <v>41</v>
      </c>
      <c r="H123" s="2">
        <v>45863</v>
      </c>
      <c r="I123" s="3">
        <v>410</v>
      </c>
      <c r="J123">
        <v>16</v>
      </c>
      <c r="K123" t="s">
        <v>26</v>
      </c>
      <c r="L123" t="s">
        <v>32</v>
      </c>
      <c r="M123">
        <v>4</v>
      </c>
    </row>
    <row r="124" spans="1:13">
      <c r="A124" t="s">
        <v>412</v>
      </c>
      <c r="B124" t="s">
        <v>118</v>
      </c>
      <c r="C124" t="s">
        <v>15</v>
      </c>
      <c r="D124" t="s">
        <v>45</v>
      </c>
      <c r="E124" t="s">
        <v>56</v>
      </c>
      <c r="F124" t="s">
        <v>18</v>
      </c>
      <c r="G124" t="s">
        <v>41</v>
      </c>
      <c r="H124" s="2">
        <v>45863</v>
      </c>
      <c r="I124" s="3">
        <v>450</v>
      </c>
      <c r="J124">
        <v>16</v>
      </c>
      <c r="K124" t="s">
        <v>26</v>
      </c>
      <c r="L124" t="s">
        <v>21</v>
      </c>
      <c r="M124">
        <v>4</v>
      </c>
    </row>
    <row r="125" spans="1:13">
      <c r="A125" t="s">
        <v>388</v>
      </c>
      <c r="B125" t="s">
        <v>87</v>
      </c>
      <c r="C125" t="s">
        <v>15</v>
      </c>
      <c r="D125" t="s">
        <v>16</v>
      </c>
      <c r="E125" t="s">
        <v>88</v>
      </c>
      <c r="F125" t="s">
        <v>60</v>
      </c>
      <c r="G125" t="s">
        <v>31</v>
      </c>
      <c r="H125" s="2">
        <v>45854</v>
      </c>
      <c r="I125" s="3">
        <v>215</v>
      </c>
      <c r="J125">
        <v>18</v>
      </c>
      <c r="K125" t="s">
        <v>26</v>
      </c>
      <c r="L125" t="s">
        <v>32</v>
      </c>
      <c r="M125">
        <v>2</v>
      </c>
    </row>
    <row r="126" spans="1:13">
      <c r="A126" t="s">
        <v>143</v>
      </c>
      <c r="B126" t="s">
        <v>144</v>
      </c>
      <c r="C126" t="s">
        <v>24</v>
      </c>
      <c r="D126" t="s">
        <v>49</v>
      </c>
      <c r="E126" t="s">
        <v>56</v>
      </c>
      <c r="F126" t="s">
        <v>46</v>
      </c>
      <c r="G126" t="s">
        <v>19</v>
      </c>
      <c r="H126" s="2">
        <v>45851</v>
      </c>
      <c r="I126" s="3">
        <v>295</v>
      </c>
      <c r="J126">
        <v>16</v>
      </c>
      <c r="K126" t="s">
        <v>26</v>
      </c>
      <c r="L126" t="s">
        <v>32</v>
      </c>
      <c r="M126">
        <v>2</v>
      </c>
    </row>
    <row r="127" spans="1:13">
      <c r="A127" t="s">
        <v>427</v>
      </c>
      <c r="B127" t="s">
        <v>191</v>
      </c>
      <c r="C127" t="s">
        <v>44</v>
      </c>
      <c r="D127" t="s">
        <v>16</v>
      </c>
      <c r="E127" t="s">
        <v>17</v>
      </c>
      <c r="F127" t="s">
        <v>40</v>
      </c>
      <c r="G127" t="s">
        <v>31</v>
      </c>
      <c r="H127" s="2">
        <v>45843</v>
      </c>
      <c r="I127" s="3">
        <v>460</v>
      </c>
      <c r="J127">
        <v>24</v>
      </c>
      <c r="K127" t="s">
        <v>20</v>
      </c>
      <c r="L127" t="s">
        <v>50</v>
      </c>
      <c r="M127">
        <v>4</v>
      </c>
    </row>
    <row r="128" spans="1:13">
      <c r="A128" t="s">
        <v>314</v>
      </c>
      <c r="B128" t="s">
        <v>216</v>
      </c>
      <c r="C128" t="s">
        <v>15</v>
      </c>
      <c r="D128" t="s">
        <v>59</v>
      </c>
      <c r="E128" t="s">
        <v>88</v>
      </c>
      <c r="F128" t="s">
        <v>60</v>
      </c>
      <c r="G128" t="s">
        <v>31</v>
      </c>
      <c r="H128" s="2">
        <v>45839</v>
      </c>
      <c r="I128" s="3">
        <v>160</v>
      </c>
      <c r="J128">
        <v>4</v>
      </c>
      <c r="K128" t="s">
        <v>20</v>
      </c>
      <c r="L128" t="s">
        <v>21</v>
      </c>
      <c r="M128">
        <v>5</v>
      </c>
    </row>
    <row r="129" spans="1:13">
      <c r="A129" t="s">
        <v>190</v>
      </c>
      <c r="B129" t="s">
        <v>191</v>
      </c>
      <c r="C129" t="s">
        <v>35</v>
      </c>
      <c r="D129" t="s">
        <v>59</v>
      </c>
      <c r="E129" t="s">
        <v>56</v>
      </c>
      <c r="F129" t="s">
        <v>46</v>
      </c>
      <c r="G129" t="s">
        <v>19</v>
      </c>
      <c r="H129" s="2">
        <v>45838</v>
      </c>
      <c r="I129" s="3">
        <v>195</v>
      </c>
      <c r="J129">
        <v>6</v>
      </c>
      <c r="K129" t="s">
        <v>26</v>
      </c>
      <c r="L129" t="s">
        <v>21</v>
      </c>
      <c r="M129">
        <v>3</v>
      </c>
    </row>
    <row r="130" spans="1:13">
      <c r="A130" t="s">
        <v>365</v>
      </c>
      <c r="B130" t="s">
        <v>366</v>
      </c>
      <c r="C130" t="s">
        <v>24</v>
      </c>
      <c r="E130" t="s">
        <v>53</v>
      </c>
      <c r="F130" t="s">
        <v>36</v>
      </c>
      <c r="G130" t="s">
        <v>31</v>
      </c>
      <c r="H130" s="2">
        <v>45836</v>
      </c>
      <c r="I130" s="3">
        <v>485</v>
      </c>
      <c r="J130">
        <v>51</v>
      </c>
      <c r="K130" t="s">
        <v>26</v>
      </c>
      <c r="L130" t="s">
        <v>32</v>
      </c>
      <c r="M130">
        <v>2</v>
      </c>
    </row>
    <row r="131" spans="1:13">
      <c r="A131" t="s">
        <v>168</v>
      </c>
      <c r="B131" t="s">
        <v>169</v>
      </c>
      <c r="C131" t="s">
        <v>24</v>
      </c>
      <c r="D131" t="s">
        <v>16</v>
      </c>
      <c r="E131" t="s">
        <v>88</v>
      </c>
      <c r="F131" t="s">
        <v>46</v>
      </c>
      <c r="G131" t="s">
        <v>19</v>
      </c>
      <c r="H131" s="2">
        <v>45834</v>
      </c>
      <c r="I131" s="3">
        <v>150</v>
      </c>
      <c r="J131">
        <v>2</v>
      </c>
      <c r="K131" t="s">
        <v>26</v>
      </c>
      <c r="L131" t="s">
        <v>21</v>
      </c>
      <c r="M131">
        <v>5</v>
      </c>
    </row>
    <row r="132" spans="1:13">
      <c r="A132" t="s">
        <v>413</v>
      </c>
      <c r="B132" t="s">
        <v>198</v>
      </c>
      <c r="C132" t="s">
        <v>15</v>
      </c>
      <c r="D132" t="s">
        <v>59</v>
      </c>
      <c r="E132" t="s">
        <v>39</v>
      </c>
      <c r="F132" t="s">
        <v>40</v>
      </c>
      <c r="G132" t="s">
        <v>41</v>
      </c>
      <c r="H132" s="2">
        <v>45832</v>
      </c>
      <c r="I132" s="3">
        <v>320</v>
      </c>
      <c r="J132">
        <v>9</v>
      </c>
      <c r="K132" t="s">
        <v>20</v>
      </c>
      <c r="L132" t="s">
        <v>50</v>
      </c>
      <c r="M132">
        <v>2</v>
      </c>
    </row>
    <row r="133" spans="1:13">
      <c r="A133" t="s">
        <v>477</v>
      </c>
      <c r="B133" t="s">
        <v>286</v>
      </c>
      <c r="C133" t="s">
        <v>24</v>
      </c>
      <c r="D133" t="s">
        <v>25</v>
      </c>
      <c r="E133" t="s">
        <v>53</v>
      </c>
      <c r="F133" t="s">
        <v>46</v>
      </c>
      <c r="G133" t="s">
        <v>31</v>
      </c>
      <c r="H133" s="2">
        <v>45829</v>
      </c>
      <c r="I133" s="3">
        <v>175</v>
      </c>
      <c r="J133">
        <v>9</v>
      </c>
      <c r="K133" t="s">
        <v>26</v>
      </c>
      <c r="L133" t="s">
        <v>32</v>
      </c>
      <c r="M133">
        <v>5</v>
      </c>
    </row>
    <row r="134" spans="1:13">
      <c r="A134" t="s">
        <v>346</v>
      </c>
      <c r="B134" t="s">
        <v>58</v>
      </c>
      <c r="C134" t="s">
        <v>44</v>
      </c>
      <c r="D134" t="s">
        <v>29</v>
      </c>
      <c r="E134" t="s">
        <v>88</v>
      </c>
      <c r="F134" t="s">
        <v>60</v>
      </c>
      <c r="G134" t="s">
        <v>41</v>
      </c>
      <c r="H134" s="2">
        <v>45829</v>
      </c>
      <c r="I134" s="3">
        <v>345</v>
      </c>
      <c r="J134">
        <v>6</v>
      </c>
      <c r="K134" t="s">
        <v>20</v>
      </c>
      <c r="L134" t="s">
        <v>32</v>
      </c>
      <c r="M134">
        <v>4</v>
      </c>
    </row>
    <row r="135" spans="1:13">
      <c r="A135" t="s">
        <v>159</v>
      </c>
      <c r="B135" t="s">
        <v>160</v>
      </c>
      <c r="C135" t="s">
        <v>15</v>
      </c>
      <c r="D135" t="s">
        <v>16</v>
      </c>
      <c r="E135" t="s">
        <v>53</v>
      </c>
      <c r="F135" t="s">
        <v>36</v>
      </c>
      <c r="G135" t="s">
        <v>41</v>
      </c>
      <c r="H135" s="2">
        <v>45829</v>
      </c>
      <c r="I135" s="3">
        <v>825</v>
      </c>
      <c r="J135">
        <v>60</v>
      </c>
      <c r="K135" t="s">
        <v>26</v>
      </c>
      <c r="L135" t="s">
        <v>21</v>
      </c>
      <c r="M135">
        <v>5</v>
      </c>
    </row>
    <row r="136" spans="1:13">
      <c r="A136" t="s">
        <v>249</v>
      </c>
      <c r="B136" t="s">
        <v>28</v>
      </c>
      <c r="C136" t="s">
        <v>44</v>
      </c>
      <c r="D136" t="s">
        <v>49</v>
      </c>
      <c r="E136" t="s">
        <v>53</v>
      </c>
      <c r="F136" t="s">
        <v>46</v>
      </c>
      <c r="G136" t="s">
        <v>31</v>
      </c>
      <c r="H136" s="2">
        <v>45828</v>
      </c>
      <c r="I136" s="3">
        <v>240</v>
      </c>
      <c r="J136">
        <v>12</v>
      </c>
      <c r="K136" t="s">
        <v>26</v>
      </c>
      <c r="L136" t="s">
        <v>32</v>
      </c>
      <c r="M136">
        <v>4</v>
      </c>
    </row>
    <row r="137" spans="1:13">
      <c r="A137" t="s">
        <v>215</v>
      </c>
      <c r="B137" t="s">
        <v>216</v>
      </c>
      <c r="C137" t="s">
        <v>24</v>
      </c>
      <c r="D137" t="s">
        <v>45</v>
      </c>
      <c r="E137" t="s">
        <v>17</v>
      </c>
      <c r="F137" t="s">
        <v>18</v>
      </c>
      <c r="G137" t="s">
        <v>41</v>
      </c>
      <c r="H137" s="2">
        <v>45827</v>
      </c>
      <c r="I137" s="3">
        <v>520</v>
      </c>
      <c r="J137">
        <v>21</v>
      </c>
      <c r="K137" t="s">
        <v>20</v>
      </c>
      <c r="L137" t="s">
        <v>32</v>
      </c>
      <c r="M137">
        <v>5</v>
      </c>
    </row>
    <row r="138" spans="1:13">
      <c r="A138" t="s">
        <v>530</v>
      </c>
      <c r="B138" t="s">
        <v>137</v>
      </c>
      <c r="C138" t="s">
        <v>24</v>
      </c>
      <c r="D138" t="s">
        <v>16</v>
      </c>
      <c r="E138" t="s">
        <v>56</v>
      </c>
      <c r="F138" t="s">
        <v>18</v>
      </c>
      <c r="G138" t="s">
        <v>31</v>
      </c>
      <c r="H138" s="2">
        <v>45826</v>
      </c>
      <c r="I138" s="3">
        <v>240</v>
      </c>
      <c r="J138">
        <v>25</v>
      </c>
      <c r="K138" t="s">
        <v>26</v>
      </c>
      <c r="L138" t="s">
        <v>32</v>
      </c>
      <c r="M138">
        <v>2</v>
      </c>
    </row>
    <row r="139" spans="1:13">
      <c r="A139" t="s">
        <v>421</v>
      </c>
      <c r="B139" t="s">
        <v>257</v>
      </c>
      <c r="C139" t="s">
        <v>44</v>
      </c>
      <c r="D139" t="s">
        <v>29</v>
      </c>
      <c r="E139" t="s">
        <v>53</v>
      </c>
      <c r="F139" t="s">
        <v>36</v>
      </c>
      <c r="G139" t="s">
        <v>19</v>
      </c>
      <c r="H139" s="2">
        <v>45823</v>
      </c>
      <c r="I139" s="3">
        <v>380</v>
      </c>
      <c r="J139">
        <v>12</v>
      </c>
      <c r="K139" t="s">
        <v>26</v>
      </c>
      <c r="L139" t="s">
        <v>50</v>
      </c>
      <c r="M139">
        <v>5</v>
      </c>
    </row>
    <row r="140" spans="1:13">
      <c r="A140" t="s">
        <v>515</v>
      </c>
      <c r="B140" t="s">
        <v>516</v>
      </c>
      <c r="C140" t="s">
        <v>35</v>
      </c>
      <c r="D140" t="s">
        <v>49</v>
      </c>
      <c r="E140" t="s">
        <v>17</v>
      </c>
      <c r="F140" t="s">
        <v>36</v>
      </c>
      <c r="G140" t="s">
        <v>19</v>
      </c>
      <c r="H140" s="2">
        <v>45823</v>
      </c>
      <c r="I140" s="3">
        <v>580</v>
      </c>
      <c r="J140">
        <v>42</v>
      </c>
      <c r="K140" t="s">
        <v>26</v>
      </c>
      <c r="L140" t="s">
        <v>32</v>
      </c>
      <c r="M140">
        <v>5</v>
      </c>
    </row>
    <row r="141" spans="1:13">
      <c r="A141" t="s">
        <v>470</v>
      </c>
      <c r="B141" t="s">
        <v>84</v>
      </c>
      <c r="C141" t="s">
        <v>44</v>
      </c>
      <c r="D141" t="s">
        <v>45</v>
      </c>
      <c r="E141" t="s">
        <v>88</v>
      </c>
      <c r="F141" t="s">
        <v>18</v>
      </c>
      <c r="G141" t="s">
        <v>31</v>
      </c>
      <c r="H141" s="2">
        <v>45818</v>
      </c>
      <c r="I141" s="3">
        <v>730</v>
      </c>
      <c r="J141">
        <v>74</v>
      </c>
      <c r="K141" t="s">
        <v>26</v>
      </c>
      <c r="L141" t="s">
        <v>21</v>
      </c>
      <c r="M141">
        <v>5</v>
      </c>
    </row>
    <row r="142" spans="1:13">
      <c r="A142" t="s">
        <v>476</v>
      </c>
      <c r="B142" t="s">
        <v>92</v>
      </c>
      <c r="C142" t="s">
        <v>44</v>
      </c>
      <c r="D142" t="s">
        <v>49</v>
      </c>
      <c r="E142" t="s">
        <v>39</v>
      </c>
      <c r="F142" t="s">
        <v>40</v>
      </c>
      <c r="G142" t="s">
        <v>31</v>
      </c>
      <c r="H142" s="2">
        <v>45813</v>
      </c>
      <c r="I142" s="3">
        <v>115</v>
      </c>
      <c r="J142">
        <v>1</v>
      </c>
      <c r="K142" t="s">
        <v>26</v>
      </c>
      <c r="L142" t="s">
        <v>32</v>
      </c>
      <c r="M142">
        <v>4</v>
      </c>
    </row>
    <row r="143" spans="1:13">
      <c r="A143" t="s">
        <v>441</v>
      </c>
      <c r="B143" t="s">
        <v>233</v>
      </c>
      <c r="C143" t="s">
        <v>24</v>
      </c>
      <c r="D143" t="s">
        <v>29</v>
      </c>
      <c r="E143" t="s">
        <v>30</v>
      </c>
      <c r="F143" t="s">
        <v>18</v>
      </c>
      <c r="G143" t="s">
        <v>31</v>
      </c>
      <c r="H143" s="2">
        <v>45811</v>
      </c>
      <c r="I143" s="3">
        <v>330</v>
      </c>
      <c r="J143">
        <v>18</v>
      </c>
      <c r="K143" t="s">
        <v>20</v>
      </c>
      <c r="L143" t="s">
        <v>32</v>
      </c>
      <c r="M143">
        <v>3</v>
      </c>
    </row>
    <row r="144" spans="1:13">
      <c r="A144" t="s">
        <v>487</v>
      </c>
      <c r="B144" t="s">
        <v>196</v>
      </c>
      <c r="C144" t="s">
        <v>15</v>
      </c>
      <c r="D144" t="s">
        <v>16</v>
      </c>
      <c r="E144" t="s">
        <v>88</v>
      </c>
      <c r="F144" t="s">
        <v>60</v>
      </c>
      <c r="G144" t="s">
        <v>31</v>
      </c>
      <c r="H144" s="2">
        <v>45810</v>
      </c>
      <c r="I144" s="3">
        <v>400</v>
      </c>
      <c r="J144">
        <v>25</v>
      </c>
      <c r="K144" t="s">
        <v>20</v>
      </c>
      <c r="L144" t="s">
        <v>50</v>
      </c>
      <c r="M144">
        <v>2</v>
      </c>
    </row>
    <row r="145" spans="1:13">
      <c r="A145" t="s">
        <v>265</v>
      </c>
      <c r="B145" t="s">
        <v>266</v>
      </c>
      <c r="C145" t="s">
        <v>44</v>
      </c>
      <c r="D145" t="s">
        <v>29</v>
      </c>
      <c r="E145" t="s">
        <v>30</v>
      </c>
      <c r="F145" t="s">
        <v>46</v>
      </c>
      <c r="G145" t="s">
        <v>41</v>
      </c>
      <c r="H145" s="2">
        <v>45808</v>
      </c>
      <c r="I145" s="3">
        <v>275</v>
      </c>
      <c r="J145">
        <v>10</v>
      </c>
      <c r="K145" t="s">
        <v>26</v>
      </c>
      <c r="L145" t="s">
        <v>21</v>
      </c>
      <c r="M145">
        <v>3</v>
      </c>
    </row>
    <row r="146" spans="1:13">
      <c r="A146" t="s">
        <v>362</v>
      </c>
      <c r="B146" t="s">
        <v>129</v>
      </c>
      <c r="C146" t="s">
        <v>24</v>
      </c>
      <c r="D146" t="s">
        <v>16</v>
      </c>
      <c r="E146" t="s">
        <v>53</v>
      </c>
      <c r="F146" t="s">
        <v>60</v>
      </c>
      <c r="G146" t="s">
        <v>41</v>
      </c>
      <c r="H146" s="2">
        <v>45807</v>
      </c>
      <c r="I146" s="3">
        <v>415</v>
      </c>
      <c r="J146">
        <v>16</v>
      </c>
      <c r="K146" t="s">
        <v>20</v>
      </c>
      <c r="L146" t="s">
        <v>32</v>
      </c>
      <c r="M146">
        <v>4</v>
      </c>
    </row>
    <row r="147" spans="1:13">
      <c r="A147" t="s">
        <v>13</v>
      </c>
      <c r="B147" t="s">
        <v>14</v>
      </c>
      <c r="C147" t="s">
        <v>15</v>
      </c>
      <c r="D147" t="s">
        <v>16</v>
      </c>
      <c r="E147" t="s">
        <v>17</v>
      </c>
      <c r="F147" t="s">
        <v>18</v>
      </c>
      <c r="G147" t="s">
        <v>19</v>
      </c>
      <c r="H147" s="2">
        <v>45806</v>
      </c>
      <c r="I147" s="3">
        <v>895</v>
      </c>
      <c r="J147">
        <v>63</v>
      </c>
      <c r="K147" t="s">
        <v>20</v>
      </c>
      <c r="L147" t="s">
        <v>21</v>
      </c>
      <c r="M147">
        <v>4</v>
      </c>
    </row>
    <row r="148" spans="1:13">
      <c r="A148" t="s">
        <v>107</v>
      </c>
      <c r="B148" t="s">
        <v>108</v>
      </c>
      <c r="C148" t="s">
        <v>24</v>
      </c>
      <c r="D148" t="s">
        <v>49</v>
      </c>
      <c r="E148" t="s">
        <v>56</v>
      </c>
      <c r="F148" t="s">
        <v>18</v>
      </c>
      <c r="G148" t="s">
        <v>41</v>
      </c>
      <c r="H148" s="2">
        <v>45799</v>
      </c>
      <c r="I148" s="3">
        <v>645</v>
      </c>
      <c r="J148">
        <v>26</v>
      </c>
      <c r="K148" t="s">
        <v>20</v>
      </c>
      <c r="L148" t="s">
        <v>50</v>
      </c>
      <c r="M148">
        <v>5</v>
      </c>
    </row>
    <row r="149" spans="1:13">
      <c r="A149" t="s">
        <v>115</v>
      </c>
      <c r="B149" t="s">
        <v>116</v>
      </c>
      <c r="C149" t="s">
        <v>15</v>
      </c>
      <c r="D149" t="s">
        <v>16</v>
      </c>
      <c r="E149" t="s">
        <v>88</v>
      </c>
      <c r="F149" t="s">
        <v>46</v>
      </c>
      <c r="G149" t="s">
        <v>41</v>
      </c>
      <c r="H149" s="2">
        <v>45785</v>
      </c>
      <c r="I149" s="3">
        <v>240</v>
      </c>
      <c r="J149">
        <v>13</v>
      </c>
      <c r="K149" t="s">
        <v>26</v>
      </c>
      <c r="L149" t="s">
        <v>32</v>
      </c>
      <c r="M149">
        <v>2</v>
      </c>
    </row>
    <row r="150" spans="1:13">
      <c r="A150" t="s">
        <v>403</v>
      </c>
      <c r="B150" t="s">
        <v>64</v>
      </c>
      <c r="C150" t="s">
        <v>24</v>
      </c>
      <c r="D150" t="s">
        <v>25</v>
      </c>
      <c r="E150" t="s">
        <v>39</v>
      </c>
      <c r="F150" t="s">
        <v>40</v>
      </c>
      <c r="G150" t="s">
        <v>19</v>
      </c>
      <c r="H150" s="2">
        <v>45785</v>
      </c>
      <c r="I150" s="3">
        <v>245</v>
      </c>
      <c r="J150">
        <v>8</v>
      </c>
      <c r="K150" t="s">
        <v>26</v>
      </c>
      <c r="L150" t="s">
        <v>32</v>
      </c>
      <c r="M150">
        <v>3</v>
      </c>
    </row>
    <row r="151" spans="1:13">
      <c r="A151" t="s">
        <v>309</v>
      </c>
      <c r="B151" t="s">
        <v>310</v>
      </c>
      <c r="C151" t="s">
        <v>15</v>
      </c>
      <c r="D151" t="s">
        <v>45</v>
      </c>
      <c r="E151" t="s">
        <v>56</v>
      </c>
      <c r="F151" t="s">
        <v>18</v>
      </c>
      <c r="G151" t="s">
        <v>19</v>
      </c>
      <c r="H151" s="2">
        <v>45782</v>
      </c>
      <c r="I151" s="3">
        <v>815</v>
      </c>
      <c r="J151">
        <v>74</v>
      </c>
      <c r="K151" t="s">
        <v>26</v>
      </c>
      <c r="L151" t="s">
        <v>32</v>
      </c>
      <c r="M151">
        <v>4</v>
      </c>
    </row>
    <row r="152" spans="1:13">
      <c r="A152" t="s">
        <v>453</v>
      </c>
      <c r="B152" t="s">
        <v>266</v>
      </c>
      <c r="C152" t="s">
        <v>24</v>
      </c>
      <c r="D152" t="s">
        <v>45</v>
      </c>
      <c r="E152" t="s">
        <v>17</v>
      </c>
      <c r="F152" t="s">
        <v>40</v>
      </c>
      <c r="G152" t="s">
        <v>31</v>
      </c>
      <c r="H152" s="2">
        <v>45780</v>
      </c>
      <c r="I152" s="3">
        <v>315</v>
      </c>
      <c r="J152">
        <v>15</v>
      </c>
      <c r="K152" t="s">
        <v>26</v>
      </c>
      <c r="L152" t="s">
        <v>32</v>
      </c>
      <c r="M152">
        <v>4</v>
      </c>
    </row>
    <row r="153" spans="1:13">
      <c r="A153" t="s">
        <v>298</v>
      </c>
      <c r="B153" t="s">
        <v>177</v>
      </c>
      <c r="C153" t="s">
        <v>35</v>
      </c>
      <c r="D153" t="s">
        <v>59</v>
      </c>
      <c r="E153" t="s">
        <v>53</v>
      </c>
      <c r="F153" t="s">
        <v>46</v>
      </c>
      <c r="G153" t="s">
        <v>31</v>
      </c>
      <c r="H153" s="2">
        <v>45778</v>
      </c>
      <c r="I153" s="3">
        <v>200</v>
      </c>
      <c r="J153">
        <v>8</v>
      </c>
      <c r="K153" t="s">
        <v>26</v>
      </c>
      <c r="L153" t="s">
        <v>50</v>
      </c>
      <c r="M153">
        <v>2</v>
      </c>
    </row>
    <row r="154" spans="1:13">
      <c r="A154" t="s">
        <v>458</v>
      </c>
      <c r="B154" t="s">
        <v>238</v>
      </c>
      <c r="C154" t="s">
        <v>35</v>
      </c>
      <c r="D154" t="s">
        <v>49</v>
      </c>
      <c r="E154" t="s">
        <v>56</v>
      </c>
      <c r="F154" t="s">
        <v>18</v>
      </c>
      <c r="G154" t="s">
        <v>41</v>
      </c>
      <c r="H154" s="2">
        <v>45777</v>
      </c>
      <c r="I154" s="3">
        <v>1090</v>
      </c>
      <c r="J154">
        <v>67</v>
      </c>
      <c r="K154" t="s">
        <v>20</v>
      </c>
      <c r="L154" t="s">
        <v>50</v>
      </c>
      <c r="M154">
        <v>4</v>
      </c>
    </row>
    <row r="155" spans="1:13">
      <c r="A155" t="s">
        <v>315</v>
      </c>
      <c r="B155" t="s">
        <v>98</v>
      </c>
      <c r="C155" t="s">
        <v>24</v>
      </c>
      <c r="D155" t="s">
        <v>49</v>
      </c>
      <c r="E155" t="s">
        <v>30</v>
      </c>
      <c r="F155" t="s">
        <v>40</v>
      </c>
      <c r="G155" t="s">
        <v>31</v>
      </c>
      <c r="H155" s="2">
        <v>45773</v>
      </c>
      <c r="I155" s="3">
        <v>350</v>
      </c>
      <c r="J155">
        <v>21</v>
      </c>
      <c r="K155" t="s">
        <v>26</v>
      </c>
      <c r="L155" t="s">
        <v>21</v>
      </c>
      <c r="M155">
        <v>4</v>
      </c>
    </row>
    <row r="156" spans="1:13">
      <c r="A156" t="s">
        <v>444</v>
      </c>
      <c r="B156" t="s">
        <v>445</v>
      </c>
      <c r="C156" t="s">
        <v>44</v>
      </c>
      <c r="D156" t="s">
        <v>59</v>
      </c>
      <c r="E156" t="s">
        <v>53</v>
      </c>
      <c r="F156" t="s">
        <v>40</v>
      </c>
      <c r="G156" t="s">
        <v>41</v>
      </c>
      <c r="H156" s="2">
        <v>45773</v>
      </c>
      <c r="I156" s="3">
        <v>400</v>
      </c>
      <c r="J156">
        <v>7</v>
      </c>
      <c r="K156" t="s">
        <v>26</v>
      </c>
      <c r="L156" t="s">
        <v>32</v>
      </c>
      <c r="M156">
        <v>5</v>
      </c>
    </row>
    <row r="157" spans="1:13">
      <c r="A157" t="s">
        <v>354</v>
      </c>
      <c r="B157" t="s">
        <v>355</v>
      </c>
      <c r="C157" t="s">
        <v>44</v>
      </c>
      <c r="D157" t="s">
        <v>16</v>
      </c>
      <c r="E157" t="s">
        <v>53</v>
      </c>
      <c r="F157" t="s">
        <v>46</v>
      </c>
      <c r="G157" t="s">
        <v>31</v>
      </c>
      <c r="H157" s="2">
        <v>45766</v>
      </c>
      <c r="I157" s="3">
        <v>130</v>
      </c>
      <c r="J157">
        <v>4</v>
      </c>
      <c r="K157" t="s">
        <v>26</v>
      </c>
      <c r="L157" t="s">
        <v>50</v>
      </c>
      <c r="M157">
        <v>2</v>
      </c>
    </row>
    <row r="158" spans="1:13">
      <c r="A158" t="s">
        <v>475</v>
      </c>
      <c r="B158" t="s">
        <v>167</v>
      </c>
      <c r="C158" t="s">
        <v>44</v>
      </c>
      <c r="D158" t="s">
        <v>16</v>
      </c>
      <c r="E158" t="s">
        <v>30</v>
      </c>
      <c r="F158" t="s">
        <v>18</v>
      </c>
      <c r="G158" t="s">
        <v>19</v>
      </c>
      <c r="H158" s="2">
        <v>45766</v>
      </c>
      <c r="I158" s="3">
        <v>520</v>
      </c>
      <c r="J158">
        <v>25</v>
      </c>
      <c r="K158" t="s">
        <v>20</v>
      </c>
      <c r="L158" t="s">
        <v>32</v>
      </c>
      <c r="M158">
        <v>2</v>
      </c>
    </row>
    <row r="159" spans="1:13">
      <c r="A159" t="s">
        <v>173</v>
      </c>
      <c r="B159" t="s">
        <v>34</v>
      </c>
      <c r="C159" t="s">
        <v>44</v>
      </c>
      <c r="D159" t="s">
        <v>25</v>
      </c>
      <c r="E159" t="s">
        <v>53</v>
      </c>
      <c r="F159" t="s">
        <v>46</v>
      </c>
      <c r="G159" t="s">
        <v>31</v>
      </c>
      <c r="H159" s="2">
        <v>45758</v>
      </c>
      <c r="I159" s="3">
        <v>270</v>
      </c>
      <c r="J159">
        <v>14</v>
      </c>
      <c r="K159" t="s">
        <v>26</v>
      </c>
      <c r="L159" t="s">
        <v>21</v>
      </c>
      <c r="M159">
        <v>4</v>
      </c>
    </row>
    <row r="160" spans="1:13">
      <c r="A160" t="s">
        <v>213</v>
      </c>
      <c r="B160" t="s">
        <v>214</v>
      </c>
      <c r="C160" t="s">
        <v>44</v>
      </c>
      <c r="D160" t="s">
        <v>25</v>
      </c>
      <c r="E160" t="s">
        <v>88</v>
      </c>
      <c r="F160" t="s">
        <v>40</v>
      </c>
      <c r="G160" t="s">
        <v>41</v>
      </c>
      <c r="H160" s="2">
        <v>45757</v>
      </c>
      <c r="I160" s="3">
        <v>565</v>
      </c>
      <c r="J160">
        <v>18</v>
      </c>
      <c r="K160" t="s">
        <v>20</v>
      </c>
      <c r="L160" t="s">
        <v>21</v>
      </c>
      <c r="M160">
        <v>2</v>
      </c>
    </row>
    <row r="161" spans="1:13">
      <c r="A161" t="s">
        <v>278</v>
      </c>
      <c r="B161" t="s">
        <v>73</v>
      </c>
      <c r="C161" t="s">
        <v>35</v>
      </c>
      <c r="D161" t="s">
        <v>29</v>
      </c>
      <c r="E161" t="s">
        <v>30</v>
      </c>
      <c r="F161" t="s">
        <v>36</v>
      </c>
      <c r="G161" t="s">
        <v>41</v>
      </c>
      <c r="H161" s="2">
        <v>45753</v>
      </c>
      <c r="I161" s="3">
        <v>1275</v>
      </c>
      <c r="J161">
        <v>67</v>
      </c>
      <c r="K161" t="s">
        <v>26</v>
      </c>
      <c r="L161" t="s">
        <v>21</v>
      </c>
      <c r="M161">
        <v>4</v>
      </c>
    </row>
    <row r="162" spans="1:13">
      <c r="A162" t="s">
        <v>174</v>
      </c>
      <c r="B162" t="s">
        <v>175</v>
      </c>
      <c r="C162" t="s">
        <v>15</v>
      </c>
      <c r="D162" t="s">
        <v>29</v>
      </c>
      <c r="E162" t="s">
        <v>30</v>
      </c>
      <c r="F162" t="s">
        <v>36</v>
      </c>
      <c r="G162" t="s">
        <v>41</v>
      </c>
      <c r="H162" s="2">
        <v>45752</v>
      </c>
      <c r="I162" s="3">
        <v>1090</v>
      </c>
      <c r="J162">
        <v>65</v>
      </c>
      <c r="K162" t="s">
        <v>26</v>
      </c>
      <c r="L162" t="s">
        <v>21</v>
      </c>
      <c r="M162">
        <v>3</v>
      </c>
    </row>
    <row r="163" spans="1:13">
      <c r="A163" t="s">
        <v>317</v>
      </c>
      <c r="B163" t="s">
        <v>94</v>
      </c>
      <c r="C163" t="s">
        <v>44</v>
      </c>
      <c r="D163" t="s">
        <v>29</v>
      </c>
      <c r="E163" t="s">
        <v>56</v>
      </c>
      <c r="F163" t="s">
        <v>46</v>
      </c>
      <c r="G163" t="s">
        <v>31</v>
      </c>
      <c r="H163" s="2">
        <v>45746</v>
      </c>
      <c r="I163" s="3">
        <v>185</v>
      </c>
      <c r="K163" t="s">
        <v>26</v>
      </c>
      <c r="L163" t="s">
        <v>32</v>
      </c>
      <c r="M163">
        <v>4</v>
      </c>
    </row>
    <row r="164" spans="1:13">
      <c r="A164" t="s">
        <v>69</v>
      </c>
      <c r="B164" t="s">
        <v>62</v>
      </c>
      <c r="C164" t="s">
        <v>15</v>
      </c>
      <c r="D164" t="s">
        <v>59</v>
      </c>
      <c r="E164" t="s">
        <v>39</v>
      </c>
      <c r="F164" t="s">
        <v>60</v>
      </c>
      <c r="G164" t="s">
        <v>31</v>
      </c>
      <c r="H164" s="2">
        <v>45745</v>
      </c>
      <c r="I164" s="3">
        <v>270</v>
      </c>
      <c r="J164">
        <v>12</v>
      </c>
      <c r="K164" t="s">
        <v>20</v>
      </c>
      <c r="L164" t="s">
        <v>32</v>
      </c>
      <c r="M164">
        <v>4</v>
      </c>
    </row>
    <row r="165" spans="1:13">
      <c r="A165" t="s">
        <v>400</v>
      </c>
      <c r="B165" t="s">
        <v>401</v>
      </c>
      <c r="C165" t="s">
        <v>15</v>
      </c>
      <c r="D165" t="s">
        <v>29</v>
      </c>
      <c r="E165" t="s">
        <v>56</v>
      </c>
      <c r="F165" t="s">
        <v>18</v>
      </c>
      <c r="G165" t="s">
        <v>19</v>
      </c>
      <c r="H165" s="2">
        <v>45739</v>
      </c>
      <c r="I165" s="3">
        <v>480</v>
      </c>
      <c r="J165">
        <v>20</v>
      </c>
      <c r="K165" t="s">
        <v>26</v>
      </c>
      <c r="L165" t="s">
        <v>32</v>
      </c>
      <c r="M165">
        <v>4</v>
      </c>
    </row>
    <row r="166" spans="1:13">
      <c r="A166" t="s">
        <v>242</v>
      </c>
      <c r="B166" t="s">
        <v>81</v>
      </c>
      <c r="C166" t="s">
        <v>44</v>
      </c>
      <c r="D166" t="s">
        <v>45</v>
      </c>
      <c r="E166" t="s">
        <v>88</v>
      </c>
      <c r="F166" t="s">
        <v>40</v>
      </c>
      <c r="G166" t="s">
        <v>41</v>
      </c>
      <c r="H166" s="2">
        <v>45739</v>
      </c>
      <c r="I166" s="3">
        <v>575</v>
      </c>
      <c r="J166">
        <v>18</v>
      </c>
      <c r="K166" t="s">
        <v>26</v>
      </c>
      <c r="L166" t="s">
        <v>32</v>
      </c>
      <c r="M166">
        <v>4</v>
      </c>
    </row>
    <row r="167" spans="1:13">
      <c r="A167" t="s">
        <v>411</v>
      </c>
      <c r="B167" t="s">
        <v>122</v>
      </c>
      <c r="C167" t="s">
        <v>24</v>
      </c>
      <c r="D167" t="s">
        <v>16</v>
      </c>
      <c r="E167" t="s">
        <v>88</v>
      </c>
      <c r="F167" t="s">
        <v>36</v>
      </c>
      <c r="G167" t="s">
        <v>19</v>
      </c>
      <c r="H167" s="2">
        <v>45738</v>
      </c>
      <c r="I167" s="3">
        <v>415</v>
      </c>
      <c r="J167">
        <v>37</v>
      </c>
      <c r="K167" t="s">
        <v>26</v>
      </c>
      <c r="L167" t="s">
        <v>21</v>
      </c>
      <c r="M167">
        <v>5</v>
      </c>
    </row>
    <row r="168" spans="1:13">
      <c r="A168" t="s">
        <v>338</v>
      </c>
      <c r="B168" t="s">
        <v>151</v>
      </c>
      <c r="C168" t="s">
        <v>35</v>
      </c>
      <c r="D168" t="s">
        <v>49</v>
      </c>
      <c r="E168" t="s">
        <v>30</v>
      </c>
      <c r="F168" t="s">
        <v>18</v>
      </c>
      <c r="G168" t="s">
        <v>19</v>
      </c>
      <c r="H168" s="2">
        <v>45737</v>
      </c>
      <c r="I168" s="3">
        <v>510</v>
      </c>
      <c r="J168">
        <v>67</v>
      </c>
      <c r="K168" t="s">
        <v>26</v>
      </c>
      <c r="L168" t="s">
        <v>32</v>
      </c>
      <c r="M168">
        <v>4</v>
      </c>
    </row>
    <row r="169" spans="1:13">
      <c r="A169" t="s">
        <v>473</v>
      </c>
      <c r="B169" t="s">
        <v>474</v>
      </c>
      <c r="C169" t="s">
        <v>24</v>
      </c>
      <c r="D169" t="s">
        <v>59</v>
      </c>
      <c r="E169" t="s">
        <v>88</v>
      </c>
      <c r="F169" t="s">
        <v>60</v>
      </c>
      <c r="G169" t="s">
        <v>31</v>
      </c>
      <c r="H169" s="2">
        <v>45733</v>
      </c>
      <c r="I169" s="3">
        <v>160</v>
      </c>
      <c r="J169">
        <v>11</v>
      </c>
      <c r="K169" t="s">
        <v>26</v>
      </c>
      <c r="L169" t="s">
        <v>21</v>
      </c>
      <c r="M169">
        <v>5</v>
      </c>
    </row>
    <row r="170" spans="1:13">
      <c r="A170" t="s">
        <v>502</v>
      </c>
      <c r="B170" t="s">
        <v>376</v>
      </c>
      <c r="C170" t="s">
        <v>15</v>
      </c>
      <c r="D170" t="s">
        <v>16</v>
      </c>
      <c r="E170" t="s">
        <v>39</v>
      </c>
      <c r="F170" t="s">
        <v>40</v>
      </c>
      <c r="G170" t="s">
        <v>19</v>
      </c>
      <c r="H170" s="2">
        <v>45733</v>
      </c>
      <c r="I170" s="3">
        <v>385</v>
      </c>
      <c r="J170">
        <v>23</v>
      </c>
      <c r="K170" t="s">
        <v>26</v>
      </c>
      <c r="L170" t="s">
        <v>21</v>
      </c>
      <c r="M170">
        <v>5</v>
      </c>
    </row>
    <row r="171" spans="1:13">
      <c r="A171" t="s">
        <v>124</v>
      </c>
      <c r="B171" t="s">
        <v>125</v>
      </c>
      <c r="C171" t="s">
        <v>24</v>
      </c>
      <c r="D171" t="s">
        <v>16</v>
      </c>
      <c r="E171" t="s">
        <v>17</v>
      </c>
      <c r="F171" t="s">
        <v>18</v>
      </c>
      <c r="G171" t="s">
        <v>41</v>
      </c>
      <c r="H171" s="2">
        <v>45733</v>
      </c>
      <c r="I171" s="3">
        <v>435</v>
      </c>
      <c r="J171">
        <v>32</v>
      </c>
      <c r="K171" t="s">
        <v>26</v>
      </c>
      <c r="L171" t="s">
        <v>32</v>
      </c>
      <c r="M171">
        <v>4</v>
      </c>
    </row>
    <row r="172" spans="1:13">
      <c r="A172" t="s">
        <v>372</v>
      </c>
      <c r="B172" t="s">
        <v>361</v>
      </c>
      <c r="C172" t="s">
        <v>15</v>
      </c>
      <c r="D172" t="s">
        <v>16</v>
      </c>
      <c r="E172" t="s">
        <v>39</v>
      </c>
      <c r="F172" t="s">
        <v>60</v>
      </c>
      <c r="G172" t="s">
        <v>41</v>
      </c>
      <c r="H172" s="2">
        <v>45731</v>
      </c>
      <c r="I172" s="3">
        <v>330</v>
      </c>
      <c r="J172">
        <v>12</v>
      </c>
      <c r="K172" t="s">
        <v>26</v>
      </c>
      <c r="L172" t="s">
        <v>32</v>
      </c>
      <c r="M172">
        <v>4</v>
      </c>
    </row>
    <row r="173" spans="1:13">
      <c r="A173" t="s">
        <v>408</v>
      </c>
      <c r="B173" t="s">
        <v>409</v>
      </c>
      <c r="C173" t="s">
        <v>44</v>
      </c>
      <c r="D173" t="s">
        <v>25</v>
      </c>
      <c r="E173" t="s">
        <v>30</v>
      </c>
      <c r="F173" t="s">
        <v>40</v>
      </c>
      <c r="G173" t="s">
        <v>19</v>
      </c>
      <c r="H173" s="2">
        <v>45730</v>
      </c>
      <c r="I173" s="3">
        <v>275</v>
      </c>
      <c r="J173">
        <v>13</v>
      </c>
      <c r="K173" t="s">
        <v>26</v>
      </c>
      <c r="L173" t="s">
        <v>50</v>
      </c>
      <c r="M173">
        <v>5</v>
      </c>
    </row>
    <row r="174" spans="1:13">
      <c r="A174" t="s">
        <v>197</v>
      </c>
      <c r="B174" t="s">
        <v>198</v>
      </c>
      <c r="C174" t="s">
        <v>44</v>
      </c>
      <c r="D174" t="s">
        <v>16</v>
      </c>
      <c r="E174" t="s">
        <v>17</v>
      </c>
      <c r="F174" t="s">
        <v>60</v>
      </c>
      <c r="G174" t="s">
        <v>19</v>
      </c>
      <c r="H174" s="2">
        <v>45730</v>
      </c>
      <c r="I174" s="3">
        <v>410</v>
      </c>
      <c r="J174">
        <v>16</v>
      </c>
      <c r="K174" t="s">
        <v>26</v>
      </c>
      <c r="L174" t="s">
        <v>21</v>
      </c>
      <c r="M174">
        <v>2</v>
      </c>
    </row>
    <row r="175" spans="1:13">
      <c r="A175" t="s">
        <v>521</v>
      </c>
      <c r="B175" t="s">
        <v>58</v>
      </c>
      <c r="C175" t="s">
        <v>44</v>
      </c>
      <c r="D175" t="s">
        <v>59</v>
      </c>
      <c r="E175" t="s">
        <v>88</v>
      </c>
      <c r="F175" t="s">
        <v>46</v>
      </c>
      <c r="G175" t="s">
        <v>19</v>
      </c>
      <c r="H175" s="2">
        <v>45728</v>
      </c>
      <c r="I175" s="3">
        <v>290</v>
      </c>
      <c r="J175">
        <v>11</v>
      </c>
      <c r="K175" t="s">
        <v>26</v>
      </c>
      <c r="L175" t="s">
        <v>21</v>
      </c>
      <c r="M175">
        <v>4</v>
      </c>
    </row>
    <row r="176" spans="1:13">
      <c r="A176" t="s">
        <v>86</v>
      </c>
      <c r="B176" t="s">
        <v>87</v>
      </c>
      <c r="C176" t="s">
        <v>24</v>
      </c>
      <c r="D176" t="s">
        <v>29</v>
      </c>
      <c r="E176" t="s">
        <v>88</v>
      </c>
      <c r="F176" t="s">
        <v>46</v>
      </c>
      <c r="G176" t="s">
        <v>31</v>
      </c>
      <c r="H176" s="2">
        <v>45721</v>
      </c>
      <c r="I176" s="3">
        <v>435</v>
      </c>
      <c r="J176">
        <v>25</v>
      </c>
      <c r="K176" t="s">
        <v>20</v>
      </c>
      <c r="L176" t="s">
        <v>21</v>
      </c>
      <c r="M176">
        <v>4</v>
      </c>
    </row>
    <row r="177" spans="1:13">
      <c r="A177" t="s">
        <v>183</v>
      </c>
      <c r="B177" t="s">
        <v>184</v>
      </c>
      <c r="C177" t="s">
        <v>24</v>
      </c>
      <c r="D177" t="s">
        <v>16</v>
      </c>
      <c r="E177" t="s">
        <v>30</v>
      </c>
      <c r="F177" t="s">
        <v>40</v>
      </c>
      <c r="G177" t="s">
        <v>19</v>
      </c>
      <c r="H177" s="2">
        <v>45719</v>
      </c>
      <c r="I177" s="3">
        <v>340</v>
      </c>
      <c r="J177">
        <v>25</v>
      </c>
      <c r="K177" t="s">
        <v>26</v>
      </c>
      <c r="L177" t="s">
        <v>32</v>
      </c>
      <c r="M177">
        <v>2</v>
      </c>
    </row>
    <row r="178" spans="1:13">
      <c r="A178" t="s">
        <v>504</v>
      </c>
      <c r="B178" t="s">
        <v>505</v>
      </c>
      <c r="C178" t="s">
        <v>44</v>
      </c>
      <c r="D178" t="s">
        <v>16</v>
      </c>
      <c r="E178" t="s">
        <v>17</v>
      </c>
      <c r="F178" t="s">
        <v>46</v>
      </c>
      <c r="G178" t="s">
        <v>31</v>
      </c>
      <c r="H178" s="2">
        <v>45718</v>
      </c>
      <c r="I178" s="3">
        <v>225</v>
      </c>
      <c r="J178">
        <v>24</v>
      </c>
      <c r="K178" t="s">
        <v>26</v>
      </c>
      <c r="L178" t="s">
        <v>32</v>
      </c>
      <c r="M178">
        <v>4</v>
      </c>
    </row>
    <row r="179" spans="1:13">
      <c r="A179" t="s">
        <v>231</v>
      </c>
      <c r="B179" t="s">
        <v>92</v>
      </c>
      <c r="C179" t="s">
        <v>15</v>
      </c>
      <c r="D179" t="s">
        <v>45</v>
      </c>
      <c r="E179" t="s">
        <v>53</v>
      </c>
      <c r="F179" t="s">
        <v>36</v>
      </c>
      <c r="G179" t="s">
        <v>31</v>
      </c>
      <c r="H179" s="2">
        <v>45717</v>
      </c>
      <c r="I179" s="3">
        <v>270</v>
      </c>
      <c r="J179">
        <v>8</v>
      </c>
      <c r="K179" t="s">
        <v>26</v>
      </c>
      <c r="L179" t="s">
        <v>32</v>
      </c>
      <c r="M179">
        <v>5</v>
      </c>
    </row>
    <row r="180" spans="1:13">
      <c r="A180" t="s">
        <v>279</v>
      </c>
      <c r="B180" t="s">
        <v>120</v>
      </c>
      <c r="C180" t="s">
        <v>35</v>
      </c>
      <c r="D180" t="s">
        <v>16</v>
      </c>
      <c r="E180" t="s">
        <v>53</v>
      </c>
      <c r="F180" t="s">
        <v>40</v>
      </c>
      <c r="G180" t="s">
        <v>41</v>
      </c>
      <c r="H180" s="2">
        <v>45717</v>
      </c>
      <c r="I180" s="3">
        <v>500</v>
      </c>
      <c r="J180">
        <v>20</v>
      </c>
      <c r="K180" t="s">
        <v>26</v>
      </c>
      <c r="L180" t="s">
        <v>32</v>
      </c>
      <c r="M180">
        <v>5</v>
      </c>
    </row>
    <row r="181" spans="1:13">
      <c r="A181" t="s">
        <v>239</v>
      </c>
      <c r="B181" t="s">
        <v>240</v>
      </c>
      <c r="C181" t="s">
        <v>35</v>
      </c>
      <c r="D181" t="s">
        <v>49</v>
      </c>
      <c r="E181" t="s">
        <v>17</v>
      </c>
      <c r="F181" t="s">
        <v>36</v>
      </c>
      <c r="G181" t="s">
        <v>41</v>
      </c>
      <c r="H181" s="2">
        <v>45714</v>
      </c>
      <c r="I181" s="3">
        <v>730</v>
      </c>
      <c r="J181">
        <v>50</v>
      </c>
      <c r="K181" t="s">
        <v>20</v>
      </c>
      <c r="L181" t="s">
        <v>32</v>
      </c>
      <c r="M181">
        <v>3</v>
      </c>
    </row>
    <row r="182" spans="1:13">
      <c r="A182" t="s">
        <v>78</v>
      </c>
      <c r="B182" t="s">
        <v>79</v>
      </c>
      <c r="C182" t="s">
        <v>15</v>
      </c>
      <c r="D182" t="s">
        <v>45</v>
      </c>
      <c r="E182" t="s">
        <v>17</v>
      </c>
      <c r="F182" t="s">
        <v>36</v>
      </c>
      <c r="G182" t="s">
        <v>19</v>
      </c>
      <c r="H182" s="2">
        <v>45713</v>
      </c>
      <c r="I182" s="3">
        <v>640</v>
      </c>
      <c r="J182">
        <v>23</v>
      </c>
      <c r="K182" t="s">
        <v>26</v>
      </c>
      <c r="L182" t="s">
        <v>21</v>
      </c>
      <c r="M182">
        <v>4</v>
      </c>
    </row>
    <row r="183" spans="1:13">
      <c r="A183" t="s">
        <v>485</v>
      </c>
      <c r="B183" t="s">
        <v>189</v>
      </c>
      <c r="C183" t="s">
        <v>24</v>
      </c>
      <c r="D183" t="s">
        <v>29</v>
      </c>
      <c r="E183" t="s">
        <v>53</v>
      </c>
      <c r="F183" t="s">
        <v>46</v>
      </c>
      <c r="G183" t="s">
        <v>19</v>
      </c>
      <c r="H183" s="2">
        <v>45709</v>
      </c>
      <c r="I183" s="3">
        <v>130</v>
      </c>
      <c r="J183">
        <v>1</v>
      </c>
      <c r="K183" t="s">
        <v>26</v>
      </c>
      <c r="L183" t="s">
        <v>21</v>
      </c>
      <c r="M183">
        <v>3</v>
      </c>
    </row>
    <row r="184" spans="1:13">
      <c r="A184" t="s">
        <v>322</v>
      </c>
      <c r="B184" t="s">
        <v>167</v>
      </c>
      <c r="C184" t="s">
        <v>24</v>
      </c>
      <c r="D184" t="s">
        <v>25</v>
      </c>
      <c r="E184" t="s">
        <v>88</v>
      </c>
      <c r="F184" t="s">
        <v>40</v>
      </c>
      <c r="G184" t="s">
        <v>31</v>
      </c>
      <c r="H184" s="2">
        <v>45707</v>
      </c>
      <c r="I184" s="3">
        <v>125</v>
      </c>
      <c r="J184">
        <v>2</v>
      </c>
      <c r="K184" t="s">
        <v>26</v>
      </c>
      <c r="L184" t="s">
        <v>32</v>
      </c>
      <c r="M184">
        <v>2</v>
      </c>
    </row>
    <row r="185" spans="1:13">
      <c r="A185" t="s">
        <v>541</v>
      </c>
      <c r="B185" t="s">
        <v>94</v>
      </c>
      <c r="C185" t="s">
        <v>35</v>
      </c>
      <c r="D185" t="s">
        <v>45</v>
      </c>
      <c r="E185" t="s">
        <v>88</v>
      </c>
      <c r="F185" t="s">
        <v>60</v>
      </c>
      <c r="G185" t="s">
        <v>41</v>
      </c>
      <c r="H185" s="2">
        <v>45707</v>
      </c>
      <c r="I185" s="3">
        <v>295</v>
      </c>
      <c r="J185">
        <v>3</v>
      </c>
      <c r="K185" t="s">
        <v>20</v>
      </c>
      <c r="L185" t="s">
        <v>21</v>
      </c>
      <c r="M185">
        <v>3</v>
      </c>
    </row>
    <row r="186" spans="1:13">
      <c r="A186" t="s">
        <v>280</v>
      </c>
      <c r="B186" t="s">
        <v>281</v>
      </c>
      <c r="C186" t="s">
        <v>15</v>
      </c>
      <c r="D186" t="s">
        <v>59</v>
      </c>
      <c r="E186" t="s">
        <v>88</v>
      </c>
      <c r="F186" t="s">
        <v>40</v>
      </c>
      <c r="G186" t="s">
        <v>31</v>
      </c>
      <c r="H186" s="2">
        <v>45707</v>
      </c>
      <c r="I186" s="3">
        <v>370</v>
      </c>
      <c r="J186">
        <v>25</v>
      </c>
      <c r="K186" t="s">
        <v>26</v>
      </c>
      <c r="L186" t="s">
        <v>32</v>
      </c>
      <c r="M186">
        <v>4</v>
      </c>
    </row>
    <row r="187" spans="1:13">
      <c r="A187" t="s">
        <v>336</v>
      </c>
      <c r="B187" t="s">
        <v>248</v>
      </c>
      <c r="C187" t="s">
        <v>35</v>
      </c>
      <c r="D187" t="s">
        <v>25</v>
      </c>
      <c r="E187" t="s">
        <v>53</v>
      </c>
      <c r="F187" t="s">
        <v>36</v>
      </c>
      <c r="G187" t="s">
        <v>41</v>
      </c>
      <c r="H187" s="2">
        <v>45706</v>
      </c>
      <c r="I187" s="3">
        <v>625</v>
      </c>
      <c r="J187">
        <v>28</v>
      </c>
      <c r="K187" t="s">
        <v>26</v>
      </c>
      <c r="L187" t="s">
        <v>21</v>
      </c>
      <c r="M187">
        <v>4</v>
      </c>
    </row>
    <row r="188" spans="1:13">
      <c r="A188" t="s">
        <v>251</v>
      </c>
      <c r="B188" t="s">
        <v>252</v>
      </c>
      <c r="C188" t="s">
        <v>24</v>
      </c>
      <c r="D188" t="s">
        <v>45</v>
      </c>
      <c r="E188" t="s">
        <v>53</v>
      </c>
      <c r="F188" t="s">
        <v>60</v>
      </c>
      <c r="G188" t="s">
        <v>41</v>
      </c>
      <c r="H188" s="2">
        <v>45705</v>
      </c>
      <c r="I188" s="3">
        <v>325</v>
      </c>
      <c r="J188">
        <v>10</v>
      </c>
      <c r="K188" t="s">
        <v>20</v>
      </c>
      <c r="L188" t="s">
        <v>32</v>
      </c>
      <c r="M188">
        <v>5</v>
      </c>
    </row>
    <row r="189" spans="1:13">
      <c r="A189" t="s">
        <v>371</v>
      </c>
      <c r="B189" t="s">
        <v>312</v>
      </c>
      <c r="C189" t="s">
        <v>24</v>
      </c>
      <c r="D189" t="s">
        <v>16</v>
      </c>
      <c r="E189" t="s">
        <v>88</v>
      </c>
      <c r="F189" t="s">
        <v>46</v>
      </c>
      <c r="G189" t="s">
        <v>41</v>
      </c>
      <c r="H189" s="2">
        <v>45704</v>
      </c>
      <c r="I189" s="3">
        <v>230</v>
      </c>
      <c r="J189">
        <v>3</v>
      </c>
      <c r="K189" t="s">
        <v>26</v>
      </c>
      <c r="L189" t="s">
        <v>32</v>
      </c>
      <c r="M189">
        <v>4</v>
      </c>
    </row>
    <row r="190" spans="1:13">
      <c r="A190" t="s">
        <v>512</v>
      </c>
      <c r="B190" t="s">
        <v>513</v>
      </c>
      <c r="C190" t="s">
        <v>24</v>
      </c>
      <c r="D190" t="s">
        <v>45</v>
      </c>
      <c r="E190" t="s">
        <v>88</v>
      </c>
      <c r="F190" t="s">
        <v>36</v>
      </c>
      <c r="G190" t="s">
        <v>19</v>
      </c>
      <c r="H190" s="2">
        <v>45701</v>
      </c>
      <c r="I190" s="3">
        <v>750</v>
      </c>
      <c r="J190">
        <v>63</v>
      </c>
      <c r="K190" t="s">
        <v>26</v>
      </c>
      <c r="L190" t="s">
        <v>32</v>
      </c>
      <c r="M190">
        <v>4</v>
      </c>
    </row>
    <row r="191" spans="1:13">
      <c r="A191" t="s">
        <v>157</v>
      </c>
      <c r="B191" t="s">
        <v>158</v>
      </c>
      <c r="C191" t="s">
        <v>24</v>
      </c>
      <c r="D191" t="s">
        <v>16</v>
      </c>
      <c r="E191" t="s">
        <v>53</v>
      </c>
      <c r="F191" t="s">
        <v>40</v>
      </c>
      <c r="G191" t="s">
        <v>31</v>
      </c>
      <c r="H191" s="2">
        <v>45696</v>
      </c>
      <c r="I191" s="3">
        <v>190</v>
      </c>
      <c r="J191">
        <v>19</v>
      </c>
      <c r="K191" t="s">
        <v>26</v>
      </c>
      <c r="L191" t="s">
        <v>32</v>
      </c>
      <c r="M191">
        <v>4</v>
      </c>
    </row>
    <row r="192" spans="1:13">
      <c r="A192" t="s">
        <v>42</v>
      </c>
      <c r="B192" t="s">
        <v>43</v>
      </c>
      <c r="C192" t="s">
        <v>44</v>
      </c>
      <c r="D192" t="s">
        <v>45</v>
      </c>
      <c r="E192" t="s">
        <v>39</v>
      </c>
      <c r="F192" t="s">
        <v>46</v>
      </c>
      <c r="G192" t="s">
        <v>31</v>
      </c>
      <c r="H192" s="2">
        <v>45694</v>
      </c>
      <c r="I192" s="3">
        <v>95</v>
      </c>
      <c r="J192">
        <v>2</v>
      </c>
      <c r="K192" t="s">
        <v>26</v>
      </c>
      <c r="L192" t="s">
        <v>32</v>
      </c>
      <c r="M192">
        <v>3</v>
      </c>
    </row>
    <row r="193" spans="1:13">
      <c r="A193" t="s">
        <v>339</v>
      </c>
      <c r="B193" t="s">
        <v>340</v>
      </c>
      <c r="C193" t="s">
        <v>35</v>
      </c>
      <c r="D193" t="s">
        <v>45</v>
      </c>
      <c r="E193" t="s">
        <v>39</v>
      </c>
      <c r="F193" t="s">
        <v>60</v>
      </c>
      <c r="G193" t="s">
        <v>41</v>
      </c>
      <c r="H193" s="2">
        <v>45694</v>
      </c>
      <c r="I193" s="3">
        <v>335</v>
      </c>
      <c r="J193">
        <v>17</v>
      </c>
      <c r="K193" t="s">
        <v>26</v>
      </c>
      <c r="L193" t="s">
        <v>32</v>
      </c>
      <c r="M193">
        <v>5</v>
      </c>
    </row>
    <row r="194" spans="1:13">
      <c r="A194" t="s">
        <v>352</v>
      </c>
      <c r="B194" t="s">
        <v>353</v>
      </c>
      <c r="C194" t="s">
        <v>15</v>
      </c>
      <c r="D194" t="s">
        <v>16</v>
      </c>
      <c r="E194" t="s">
        <v>53</v>
      </c>
      <c r="F194" t="s">
        <v>36</v>
      </c>
      <c r="G194" t="s">
        <v>19</v>
      </c>
      <c r="H194" s="2">
        <v>45693</v>
      </c>
      <c r="I194" s="3">
        <v>290</v>
      </c>
      <c r="J194">
        <v>8</v>
      </c>
      <c r="K194" t="s">
        <v>26</v>
      </c>
      <c r="L194" t="s">
        <v>32</v>
      </c>
      <c r="M194">
        <v>5</v>
      </c>
    </row>
    <row r="195" spans="1:13">
      <c r="A195" t="s">
        <v>105</v>
      </c>
      <c r="B195" t="s">
        <v>106</v>
      </c>
      <c r="C195" t="s">
        <v>24</v>
      </c>
      <c r="D195" t="s">
        <v>49</v>
      </c>
      <c r="E195" t="s">
        <v>88</v>
      </c>
      <c r="F195" t="s">
        <v>36</v>
      </c>
      <c r="G195" t="s">
        <v>31</v>
      </c>
      <c r="H195" s="2">
        <v>45693</v>
      </c>
      <c r="I195" s="3">
        <v>835</v>
      </c>
      <c r="J195">
        <v>50</v>
      </c>
      <c r="K195" t="s">
        <v>20</v>
      </c>
      <c r="L195" t="s">
        <v>32</v>
      </c>
      <c r="M195">
        <v>4</v>
      </c>
    </row>
    <row r="196" spans="1:13">
      <c r="A196" t="s">
        <v>489</v>
      </c>
      <c r="B196" t="s">
        <v>349</v>
      </c>
      <c r="C196" t="s">
        <v>24</v>
      </c>
      <c r="D196" t="s">
        <v>25</v>
      </c>
      <c r="E196" t="s">
        <v>88</v>
      </c>
      <c r="F196" t="s">
        <v>40</v>
      </c>
      <c r="G196" t="s">
        <v>19</v>
      </c>
      <c r="H196" s="2">
        <v>45689</v>
      </c>
      <c r="I196" s="3">
        <v>520</v>
      </c>
      <c r="J196">
        <v>25</v>
      </c>
      <c r="K196" t="s">
        <v>26</v>
      </c>
      <c r="L196" t="s">
        <v>32</v>
      </c>
      <c r="M196">
        <v>4</v>
      </c>
    </row>
    <row r="197" spans="1:13">
      <c r="A197" t="s">
        <v>205</v>
      </c>
      <c r="B197" t="s">
        <v>191</v>
      </c>
      <c r="C197" t="s">
        <v>24</v>
      </c>
      <c r="D197" t="s">
        <v>29</v>
      </c>
      <c r="E197" t="s">
        <v>39</v>
      </c>
      <c r="F197" t="s">
        <v>60</v>
      </c>
      <c r="G197" t="s">
        <v>41</v>
      </c>
      <c r="H197" s="2">
        <v>45686</v>
      </c>
      <c r="I197" s="3">
        <v>400</v>
      </c>
      <c r="J197">
        <v>24</v>
      </c>
      <c r="K197" t="s">
        <v>20</v>
      </c>
      <c r="L197" t="s">
        <v>21</v>
      </c>
      <c r="M197">
        <v>4</v>
      </c>
    </row>
    <row r="198" spans="1:13">
      <c r="A198" t="s">
        <v>330</v>
      </c>
      <c r="B198" t="s">
        <v>90</v>
      </c>
      <c r="C198" t="s">
        <v>35</v>
      </c>
      <c r="D198" t="s">
        <v>25</v>
      </c>
      <c r="E198" t="s">
        <v>56</v>
      </c>
      <c r="F198" t="s">
        <v>18</v>
      </c>
      <c r="G198" t="s">
        <v>31</v>
      </c>
      <c r="H198" s="2">
        <v>45681</v>
      </c>
      <c r="I198" s="3">
        <v>610</v>
      </c>
      <c r="J198">
        <v>46</v>
      </c>
      <c r="K198" t="s">
        <v>20</v>
      </c>
      <c r="L198" t="s">
        <v>32</v>
      </c>
      <c r="M198">
        <v>4</v>
      </c>
    </row>
    <row r="199" spans="1:13">
      <c r="A199" t="s">
        <v>269</v>
      </c>
      <c r="B199" t="s">
        <v>75</v>
      </c>
      <c r="C199" t="s">
        <v>44</v>
      </c>
      <c r="D199" t="s">
        <v>59</v>
      </c>
      <c r="E199" t="s">
        <v>30</v>
      </c>
      <c r="F199" t="s">
        <v>36</v>
      </c>
      <c r="G199" t="s">
        <v>31</v>
      </c>
      <c r="H199" s="2">
        <v>45678</v>
      </c>
      <c r="I199" s="3">
        <v>480</v>
      </c>
      <c r="J199">
        <v>30</v>
      </c>
      <c r="K199" t="s">
        <v>26</v>
      </c>
      <c r="L199" t="s">
        <v>32</v>
      </c>
      <c r="M199">
        <v>3</v>
      </c>
    </row>
    <row r="200" spans="1:13">
      <c r="A200" t="s">
        <v>429</v>
      </c>
      <c r="B200" t="s">
        <v>98</v>
      </c>
      <c r="C200" t="s">
        <v>35</v>
      </c>
      <c r="D200" t="s">
        <v>49</v>
      </c>
      <c r="E200" t="s">
        <v>17</v>
      </c>
      <c r="F200" t="s">
        <v>18</v>
      </c>
      <c r="G200" t="s">
        <v>31</v>
      </c>
      <c r="H200" s="2">
        <v>45675</v>
      </c>
      <c r="I200" s="3">
        <v>740</v>
      </c>
      <c r="J200">
        <v>67</v>
      </c>
      <c r="K200" t="s">
        <v>20</v>
      </c>
      <c r="L200" t="s">
        <v>32</v>
      </c>
    </row>
    <row r="201" spans="1:13">
      <c r="A201" t="s">
        <v>93</v>
      </c>
      <c r="B201" t="s">
        <v>94</v>
      </c>
      <c r="C201" t="s">
        <v>35</v>
      </c>
      <c r="D201" t="s">
        <v>16</v>
      </c>
      <c r="E201" t="s">
        <v>88</v>
      </c>
      <c r="F201" t="s">
        <v>40</v>
      </c>
      <c r="G201" t="s">
        <v>31</v>
      </c>
      <c r="H201" s="2">
        <v>45673</v>
      </c>
      <c r="I201" s="3">
        <v>355</v>
      </c>
      <c r="J201">
        <v>17</v>
      </c>
      <c r="K201" t="s">
        <v>26</v>
      </c>
      <c r="L201" t="s">
        <v>50</v>
      </c>
      <c r="M201">
        <v>4</v>
      </c>
    </row>
    <row r="202" spans="1:13">
      <c r="A202" t="s">
        <v>469</v>
      </c>
      <c r="B202" t="s">
        <v>189</v>
      </c>
      <c r="C202" t="s">
        <v>44</v>
      </c>
      <c r="D202" t="s">
        <v>59</v>
      </c>
      <c r="E202" t="s">
        <v>17</v>
      </c>
      <c r="F202" t="s">
        <v>46</v>
      </c>
      <c r="G202" t="s">
        <v>31</v>
      </c>
      <c r="H202" s="2">
        <v>45672</v>
      </c>
      <c r="I202" s="3">
        <v>140</v>
      </c>
      <c r="J202">
        <v>17</v>
      </c>
      <c r="K202" t="s">
        <v>26</v>
      </c>
      <c r="L202" t="s">
        <v>32</v>
      </c>
      <c r="M202">
        <v>2</v>
      </c>
    </row>
    <row r="203" spans="1:13">
      <c r="A203" t="s">
        <v>385</v>
      </c>
      <c r="B203" t="s">
        <v>179</v>
      </c>
      <c r="C203" t="s">
        <v>24</v>
      </c>
      <c r="D203" t="s">
        <v>16</v>
      </c>
      <c r="E203" t="s">
        <v>53</v>
      </c>
      <c r="F203" t="s">
        <v>60</v>
      </c>
      <c r="G203" t="s">
        <v>41</v>
      </c>
      <c r="H203" s="2">
        <v>45670</v>
      </c>
      <c r="I203" s="3">
        <v>340</v>
      </c>
      <c r="J203">
        <v>6</v>
      </c>
      <c r="K203" t="s">
        <v>20</v>
      </c>
      <c r="L203" t="s">
        <v>21</v>
      </c>
      <c r="M203">
        <v>5</v>
      </c>
    </row>
    <row r="204" spans="1:13">
      <c r="A204" t="s">
        <v>432</v>
      </c>
      <c r="B204" t="s">
        <v>230</v>
      </c>
      <c r="C204" t="s">
        <v>15</v>
      </c>
      <c r="D204" t="s">
        <v>16</v>
      </c>
      <c r="E204" t="s">
        <v>39</v>
      </c>
      <c r="F204" t="s">
        <v>46</v>
      </c>
      <c r="G204" t="s">
        <v>31</v>
      </c>
      <c r="H204" s="2">
        <v>45665</v>
      </c>
      <c r="I204" s="3">
        <v>205</v>
      </c>
      <c r="J204">
        <v>10</v>
      </c>
      <c r="K204" t="s">
        <v>26</v>
      </c>
      <c r="L204" t="s">
        <v>32</v>
      </c>
      <c r="M204">
        <v>5</v>
      </c>
    </row>
    <row r="205" spans="1:13">
      <c r="A205" t="s">
        <v>472</v>
      </c>
      <c r="B205" t="s">
        <v>151</v>
      </c>
      <c r="C205" t="s">
        <v>24</v>
      </c>
      <c r="D205" t="s">
        <v>16</v>
      </c>
      <c r="E205" t="s">
        <v>39</v>
      </c>
      <c r="F205" t="s">
        <v>60</v>
      </c>
      <c r="G205" t="s">
        <v>19</v>
      </c>
      <c r="H205" s="2">
        <v>45664</v>
      </c>
      <c r="I205" s="3">
        <v>350</v>
      </c>
      <c r="J205">
        <v>19</v>
      </c>
      <c r="K205" t="s">
        <v>26</v>
      </c>
      <c r="L205" t="s">
        <v>32</v>
      </c>
      <c r="M205">
        <v>4</v>
      </c>
    </row>
    <row r="206" spans="1:13">
      <c r="A206" t="s">
        <v>63</v>
      </c>
      <c r="B206" t="s">
        <v>64</v>
      </c>
      <c r="C206" t="s">
        <v>24</v>
      </c>
      <c r="D206" t="s">
        <v>49</v>
      </c>
      <c r="E206" t="s">
        <v>53</v>
      </c>
      <c r="F206" t="s">
        <v>36</v>
      </c>
      <c r="G206" t="s">
        <v>19</v>
      </c>
      <c r="H206" s="2">
        <v>45664</v>
      </c>
      <c r="I206" s="3">
        <v>1130</v>
      </c>
      <c r="J206">
        <v>69</v>
      </c>
      <c r="K206" t="s">
        <v>26</v>
      </c>
      <c r="L206" t="s">
        <v>21</v>
      </c>
      <c r="M206">
        <v>5</v>
      </c>
    </row>
    <row r="207" spans="1:13">
      <c r="A207" t="s">
        <v>261</v>
      </c>
      <c r="B207" t="s">
        <v>262</v>
      </c>
      <c r="C207" t="s">
        <v>35</v>
      </c>
      <c r="D207" t="s">
        <v>25</v>
      </c>
      <c r="E207" t="s">
        <v>17</v>
      </c>
      <c r="F207" t="s">
        <v>46</v>
      </c>
      <c r="G207" t="s">
        <v>31</v>
      </c>
      <c r="H207" s="2">
        <v>45663</v>
      </c>
      <c r="I207" s="3">
        <v>260</v>
      </c>
      <c r="J207">
        <v>13</v>
      </c>
      <c r="K207" t="s">
        <v>26</v>
      </c>
      <c r="L207" t="s">
        <v>21</v>
      </c>
      <c r="M207">
        <v>4</v>
      </c>
    </row>
    <row r="208" spans="1:13">
      <c r="A208" t="s">
        <v>430</v>
      </c>
      <c r="B208" t="s">
        <v>94</v>
      </c>
      <c r="C208" t="s">
        <v>15</v>
      </c>
      <c r="D208" t="s">
        <v>29</v>
      </c>
      <c r="E208" t="s">
        <v>17</v>
      </c>
      <c r="F208" t="s">
        <v>46</v>
      </c>
      <c r="G208" t="s">
        <v>41</v>
      </c>
      <c r="H208" s="2">
        <v>45660</v>
      </c>
      <c r="I208" s="3">
        <v>310</v>
      </c>
      <c r="J208">
        <v>12</v>
      </c>
      <c r="K208" t="s">
        <v>20</v>
      </c>
      <c r="L208" t="s">
        <v>32</v>
      </c>
      <c r="M208">
        <v>3</v>
      </c>
    </row>
    <row r="209" spans="1:13">
      <c r="A209" t="s">
        <v>219</v>
      </c>
      <c r="B209" t="s">
        <v>220</v>
      </c>
      <c r="C209" t="s">
        <v>15</v>
      </c>
      <c r="D209" t="s">
        <v>16</v>
      </c>
      <c r="E209" t="s">
        <v>88</v>
      </c>
      <c r="F209" t="s">
        <v>46</v>
      </c>
      <c r="G209" t="s">
        <v>19</v>
      </c>
      <c r="H209" s="2">
        <v>45659</v>
      </c>
      <c r="I209" s="3">
        <v>390</v>
      </c>
      <c r="J209">
        <v>18</v>
      </c>
      <c r="K209" t="s">
        <v>20</v>
      </c>
      <c r="L209" t="s">
        <v>21</v>
      </c>
      <c r="M209">
        <v>5</v>
      </c>
    </row>
    <row r="210" spans="1:13">
      <c r="A210" t="s">
        <v>171</v>
      </c>
      <c r="B210" t="s">
        <v>172</v>
      </c>
      <c r="C210" t="s">
        <v>24</v>
      </c>
      <c r="D210" t="s">
        <v>59</v>
      </c>
      <c r="E210" t="s">
        <v>56</v>
      </c>
      <c r="F210" t="s">
        <v>46</v>
      </c>
      <c r="G210" t="s">
        <v>31</v>
      </c>
      <c r="H210" s="2">
        <v>45657</v>
      </c>
      <c r="I210" s="3">
        <v>230</v>
      </c>
      <c r="J210">
        <v>17</v>
      </c>
      <c r="K210" t="s">
        <v>26</v>
      </c>
      <c r="L210" t="s">
        <v>50</v>
      </c>
      <c r="M210">
        <v>5</v>
      </c>
    </row>
    <row r="211" spans="1:13">
      <c r="A211" t="s">
        <v>97</v>
      </c>
      <c r="B211" t="s">
        <v>98</v>
      </c>
      <c r="C211" t="s">
        <v>35</v>
      </c>
      <c r="D211" t="s">
        <v>49</v>
      </c>
      <c r="E211" t="s">
        <v>39</v>
      </c>
      <c r="F211" t="s">
        <v>60</v>
      </c>
      <c r="G211" t="s">
        <v>41</v>
      </c>
      <c r="H211" s="2">
        <v>45657</v>
      </c>
      <c r="I211" s="3">
        <v>355</v>
      </c>
      <c r="J211">
        <v>11</v>
      </c>
      <c r="K211" t="s">
        <v>26</v>
      </c>
      <c r="L211" t="s">
        <v>32</v>
      </c>
      <c r="M211">
        <v>5</v>
      </c>
    </row>
    <row r="212" spans="1:13">
      <c r="A212" t="s">
        <v>356</v>
      </c>
      <c r="B212" t="s">
        <v>140</v>
      </c>
      <c r="C212" t="s">
        <v>35</v>
      </c>
      <c r="D212" t="s">
        <v>59</v>
      </c>
      <c r="E212" t="s">
        <v>88</v>
      </c>
      <c r="F212" t="s">
        <v>36</v>
      </c>
      <c r="G212" t="s">
        <v>31</v>
      </c>
      <c r="H212" s="2">
        <v>45657</v>
      </c>
      <c r="I212" s="3">
        <v>390</v>
      </c>
      <c r="J212">
        <v>22</v>
      </c>
      <c r="K212" t="s">
        <v>26</v>
      </c>
      <c r="L212" t="s">
        <v>32</v>
      </c>
      <c r="M212">
        <v>3</v>
      </c>
    </row>
    <row r="213" spans="1:13">
      <c r="A213" t="s">
        <v>377</v>
      </c>
      <c r="B213" t="s">
        <v>116</v>
      </c>
      <c r="C213" t="s">
        <v>35</v>
      </c>
      <c r="D213" t="s">
        <v>29</v>
      </c>
      <c r="E213" t="s">
        <v>39</v>
      </c>
      <c r="F213" t="s">
        <v>40</v>
      </c>
      <c r="G213" t="s">
        <v>31</v>
      </c>
      <c r="H213" s="2">
        <v>45651</v>
      </c>
      <c r="I213" s="3">
        <v>300</v>
      </c>
      <c r="J213">
        <v>21</v>
      </c>
      <c r="K213" t="s">
        <v>26</v>
      </c>
      <c r="L213" t="s">
        <v>32</v>
      </c>
      <c r="M213">
        <v>3</v>
      </c>
    </row>
    <row r="214" spans="1:13">
      <c r="A214" t="s">
        <v>119</v>
      </c>
      <c r="B214" t="s">
        <v>120</v>
      </c>
      <c r="C214" t="s">
        <v>35</v>
      </c>
      <c r="D214" t="s">
        <v>25</v>
      </c>
      <c r="E214" t="s">
        <v>56</v>
      </c>
      <c r="F214" t="s">
        <v>40</v>
      </c>
      <c r="G214" t="s">
        <v>41</v>
      </c>
      <c r="H214" s="2">
        <v>45650</v>
      </c>
      <c r="I214" s="3">
        <v>570</v>
      </c>
      <c r="J214">
        <v>17</v>
      </c>
      <c r="K214" t="s">
        <v>26</v>
      </c>
      <c r="L214" t="s">
        <v>32</v>
      </c>
      <c r="M214">
        <v>4</v>
      </c>
    </row>
    <row r="215" spans="1:13">
      <c r="A215" t="s">
        <v>449</v>
      </c>
      <c r="B215" t="s">
        <v>450</v>
      </c>
      <c r="C215" t="s">
        <v>15</v>
      </c>
      <c r="D215" t="s">
        <v>59</v>
      </c>
      <c r="E215" t="s">
        <v>56</v>
      </c>
      <c r="F215" t="s">
        <v>40</v>
      </c>
      <c r="G215" t="s">
        <v>31</v>
      </c>
      <c r="H215" s="2">
        <v>45645</v>
      </c>
      <c r="I215" s="3">
        <v>165</v>
      </c>
      <c r="J215">
        <v>12</v>
      </c>
      <c r="K215" t="s">
        <v>20</v>
      </c>
      <c r="L215" t="s">
        <v>21</v>
      </c>
      <c r="M215">
        <v>4</v>
      </c>
    </row>
    <row r="216" spans="1:13">
      <c r="A216" t="s">
        <v>141</v>
      </c>
      <c r="B216" t="s">
        <v>142</v>
      </c>
      <c r="C216" t="s">
        <v>15</v>
      </c>
      <c r="D216" t="s">
        <v>59</v>
      </c>
      <c r="E216" t="s">
        <v>53</v>
      </c>
      <c r="F216" t="s">
        <v>36</v>
      </c>
      <c r="G216" t="s">
        <v>31</v>
      </c>
      <c r="H216" s="2">
        <v>45645</v>
      </c>
      <c r="I216" s="3">
        <v>615</v>
      </c>
      <c r="J216">
        <v>49</v>
      </c>
      <c r="K216" t="s">
        <v>20</v>
      </c>
      <c r="L216" t="s">
        <v>21</v>
      </c>
      <c r="M216">
        <v>4</v>
      </c>
    </row>
    <row r="217" spans="1:13">
      <c r="A217" t="s">
        <v>316</v>
      </c>
      <c r="B217" t="s">
        <v>106</v>
      </c>
      <c r="C217" t="s">
        <v>44</v>
      </c>
      <c r="D217" t="s">
        <v>29</v>
      </c>
      <c r="E217" t="s">
        <v>53</v>
      </c>
      <c r="F217" t="s">
        <v>60</v>
      </c>
      <c r="G217" t="s">
        <v>19</v>
      </c>
      <c r="H217" s="2">
        <v>45642</v>
      </c>
      <c r="I217" s="3">
        <v>175</v>
      </c>
      <c r="J217">
        <v>1</v>
      </c>
      <c r="K217" t="s">
        <v>26</v>
      </c>
      <c r="L217" t="s">
        <v>32</v>
      </c>
      <c r="M217">
        <v>4</v>
      </c>
    </row>
    <row r="218" spans="1:13">
      <c r="A218" t="s">
        <v>501</v>
      </c>
      <c r="B218" t="s">
        <v>361</v>
      </c>
      <c r="C218" t="s">
        <v>24</v>
      </c>
      <c r="D218" t="s">
        <v>49</v>
      </c>
      <c r="E218" t="s">
        <v>39</v>
      </c>
      <c r="F218" t="s">
        <v>18</v>
      </c>
      <c r="G218" t="s">
        <v>41</v>
      </c>
      <c r="H218" s="2">
        <v>45637</v>
      </c>
      <c r="I218" s="3">
        <v>500</v>
      </c>
      <c r="J218">
        <v>21</v>
      </c>
      <c r="K218" t="s">
        <v>26</v>
      </c>
      <c r="L218" t="s">
        <v>32</v>
      </c>
      <c r="M218">
        <v>3</v>
      </c>
    </row>
    <row r="219" spans="1:13">
      <c r="A219" t="s">
        <v>99</v>
      </c>
      <c r="B219" t="s">
        <v>100</v>
      </c>
      <c r="C219" t="s">
        <v>44</v>
      </c>
      <c r="D219" t="s">
        <v>25</v>
      </c>
      <c r="E219" t="s">
        <v>17</v>
      </c>
      <c r="F219" t="s">
        <v>40</v>
      </c>
      <c r="G219" t="s">
        <v>31</v>
      </c>
      <c r="H219" s="2">
        <v>45636</v>
      </c>
      <c r="I219" s="3">
        <v>230</v>
      </c>
      <c r="J219">
        <v>19</v>
      </c>
      <c r="K219" t="s">
        <v>26</v>
      </c>
      <c r="L219" t="s">
        <v>32</v>
      </c>
      <c r="M219">
        <v>3</v>
      </c>
    </row>
    <row r="220" spans="1:13">
      <c r="A220" t="s">
        <v>259</v>
      </c>
      <c r="B220" t="s">
        <v>260</v>
      </c>
      <c r="C220" t="s">
        <v>15</v>
      </c>
      <c r="D220" t="s">
        <v>45</v>
      </c>
      <c r="E220" t="s">
        <v>56</v>
      </c>
      <c r="F220" t="s">
        <v>40</v>
      </c>
      <c r="G220" t="s">
        <v>31</v>
      </c>
      <c r="H220" s="2">
        <v>45625</v>
      </c>
      <c r="I220" s="3">
        <v>140</v>
      </c>
      <c r="J220">
        <v>6</v>
      </c>
      <c r="K220" t="s">
        <v>26</v>
      </c>
      <c r="L220" t="s">
        <v>32</v>
      </c>
      <c r="M220">
        <v>3</v>
      </c>
    </row>
    <row r="221" spans="1:13">
      <c r="A221" t="s">
        <v>547</v>
      </c>
      <c r="B221" t="s">
        <v>548</v>
      </c>
      <c r="C221" t="s">
        <v>24</v>
      </c>
      <c r="D221" t="s">
        <v>25</v>
      </c>
      <c r="E221" t="s">
        <v>56</v>
      </c>
      <c r="F221" t="s">
        <v>60</v>
      </c>
      <c r="G221" t="s">
        <v>19</v>
      </c>
      <c r="H221" s="2">
        <v>45623</v>
      </c>
      <c r="I221" s="3">
        <v>190</v>
      </c>
      <c r="J221">
        <v>4</v>
      </c>
      <c r="K221" t="s">
        <v>26</v>
      </c>
      <c r="L221" t="s">
        <v>32</v>
      </c>
      <c r="M221">
        <v>3</v>
      </c>
    </row>
    <row r="222" spans="1:13">
      <c r="A222" t="s">
        <v>267</v>
      </c>
      <c r="B222" t="s">
        <v>268</v>
      </c>
      <c r="C222" t="s">
        <v>15</v>
      </c>
      <c r="D222" t="s">
        <v>45</v>
      </c>
      <c r="E222" t="s">
        <v>30</v>
      </c>
      <c r="F222" t="s">
        <v>40</v>
      </c>
      <c r="G222" t="s">
        <v>41</v>
      </c>
      <c r="H222" s="2">
        <v>45619</v>
      </c>
      <c r="I222" s="3">
        <v>530</v>
      </c>
      <c r="J222">
        <v>15</v>
      </c>
      <c r="K222" t="s">
        <v>26</v>
      </c>
      <c r="L222" t="s">
        <v>32</v>
      </c>
      <c r="M222">
        <v>4</v>
      </c>
    </row>
    <row r="223" spans="1:13">
      <c r="A223" t="s">
        <v>456</v>
      </c>
      <c r="B223" t="s">
        <v>457</v>
      </c>
      <c r="C223" t="s">
        <v>44</v>
      </c>
      <c r="D223" t="s">
        <v>16</v>
      </c>
      <c r="E223" t="s">
        <v>39</v>
      </c>
      <c r="F223" t="s">
        <v>36</v>
      </c>
      <c r="G223" t="s">
        <v>19</v>
      </c>
      <c r="H223" s="2">
        <v>45612</v>
      </c>
      <c r="I223" s="3">
        <v>620</v>
      </c>
      <c r="J223">
        <v>39</v>
      </c>
      <c r="K223" t="s">
        <v>26</v>
      </c>
      <c r="L223" t="s">
        <v>21</v>
      </c>
      <c r="M223">
        <v>4</v>
      </c>
    </row>
    <row r="224" spans="1:13">
      <c r="A224" t="s">
        <v>149</v>
      </c>
      <c r="B224" t="s">
        <v>94</v>
      </c>
      <c r="C224" t="s">
        <v>24</v>
      </c>
      <c r="D224" t="s">
        <v>16</v>
      </c>
      <c r="E224" t="s">
        <v>56</v>
      </c>
      <c r="F224" t="s">
        <v>60</v>
      </c>
      <c r="G224" t="s">
        <v>19</v>
      </c>
      <c r="H224" s="2">
        <v>45604</v>
      </c>
      <c r="I224" s="3">
        <v>200</v>
      </c>
      <c r="J224">
        <v>3</v>
      </c>
      <c r="K224" t="s">
        <v>26</v>
      </c>
      <c r="L224" t="s">
        <v>32</v>
      </c>
      <c r="M224">
        <v>4</v>
      </c>
    </row>
    <row r="225" spans="1:13">
      <c r="A225" t="s">
        <v>527</v>
      </c>
      <c r="B225" t="s">
        <v>482</v>
      </c>
      <c r="C225" t="s">
        <v>15</v>
      </c>
      <c r="D225" t="s">
        <v>45</v>
      </c>
      <c r="E225" t="s">
        <v>17</v>
      </c>
      <c r="F225" t="s">
        <v>60</v>
      </c>
      <c r="G225" t="s">
        <v>41</v>
      </c>
      <c r="H225" s="2">
        <v>45598</v>
      </c>
      <c r="I225" s="3">
        <v>570</v>
      </c>
      <c r="J225">
        <v>18</v>
      </c>
      <c r="K225" t="s">
        <v>26</v>
      </c>
      <c r="L225" t="s">
        <v>21</v>
      </c>
      <c r="M225">
        <v>3</v>
      </c>
    </row>
    <row r="226" spans="1:13">
      <c r="A226" t="s">
        <v>414</v>
      </c>
      <c r="B226" t="s">
        <v>281</v>
      </c>
      <c r="C226" t="s">
        <v>44</v>
      </c>
      <c r="D226" t="s">
        <v>29</v>
      </c>
      <c r="E226" t="s">
        <v>53</v>
      </c>
      <c r="F226" t="s">
        <v>60</v>
      </c>
      <c r="G226" t="s">
        <v>19</v>
      </c>
      <c r="H226" s="2">
        <v>45585</v>
      </c>
      <c r="I226" s="3">
        <v>260</v>
      </c>
      <c r="J226">
        <v>19</v>
      </c>
      <c r="K226" t="s">
        <v>26</v>
      </c>
      <c r="L226" t="s">
        <v>21</v>
      </c>
      <c r="M226">
        <v>3</v>
      </c>
    </row>
    <row r="227" spans="1:13">
      <c r="A227" t="s">
        <v>147</v>
      </c>
      <c r="B227" t="s">
        <v>148</v>
      </c>
      <c r="C227" t="s">
        <v>24</v>
      </c>
      <c r="D227" t="s">
        <v>25</v>
      </c>
      <c r="E227" t="s">
        <v>39</v>
      </c>
      <c r="F227" t="s">
        <v>46</v>
      </c>
      <c r="G227" t="s">
        <v>31</v>
      </c>
      <c r="H227" s="2">
        <v>45584</v>
      </c>
      <c r="I227" s="3">
        <v>230</v>
      </c>
      <c r="J227">
        <v>14</v>
      </c>
      <c r="K227" t="s">
        <v>26</v>
      </c>
      <c r="L227" t="s">
        <v>32</v>
      </c>
      <c r="M227">
        <v>4</v>
      </c>
    </row>
    <row r="228" spans="1:13">
      <c r="A228" t="s">
        <v>424</v>
      </c>
      <c r="B228" t="s">
        <v>140</v>
      </c>
      <c r="C228" t="s">
        <v>35</v>
      </c>
      <c r="D228" t="s">
        <v>59</v>
      </c>
      <c r="E228" t="s">
        <v>39</v>
      </c>
      <c r="F228" t="s">
        <v>36</v>
      </c>
      <c r="G228" t="s">
        <v>31</v>
      </c>
      <c r="H228" s="2">
        <v>45583</v>
      </c>
      <c r="I228" s="3">
        <v>185</v>
      </c>
      <c r="J228">
        <v>7</v>
      </c>
      <c r="K228" t="s">
        <v>26</v>
      </c>
      <c r="L228" t="s">
        <v>32</v>
      </c>
      <c r="M228">
        <v>4</v>
      </c>
    </row>
    <row r="229" spans="1:13">
      <c r="A229" t="s">
        <v>478</v>
      </c>
      <c r="B229" t="s">
        <v>361</v>
      </c>
      <c r="C229" t="s">
        <v>15</v>
      </c>
      <c r="D229" t="s">
        <v>59</v>
      </c>
      <c r="E229" t="s">
        <v>17</v>
      </c>
      <c r="F229" t="s">
        <v>46</v>
      </c>
      <c r="G229" t="s">
        <v>19</v>
      </c>
      <c r="H229" s="2">
        <v>45577</v>
      </c>
      <c r="I229" s="3">
        <v>300</v>
      </c>
      <c r="J229">
        <v>18</v>
      </c>
      <c r="K229" t="s">
        <v>26</v>
      </c>
      <c r="L229" t="s">
        <v>32</v>
      </c>
      <c r="M229">
        <v>5</v>
      </c>
    </row>
    <row r="230" spans="1:13">
      <c r="A230" t="s">
        <v>221</v>
      </c>
      <c r="B230" t="s">
        <v>187</v>
      </c>
      <c r="C230" t="s">
        <v>35</v>
      </c>
      <c r="D230" t="s">
        <v>45</v>
      </c>
      <c r="E230" t="s">
        <v>39</v>
      </c>
      <c r="F230" t="s">
        <v>60</v>
      </c>
      <c r="G230" t="s">
        <v>41</v>
      </c>
      <c r="H230" s="2">
        <v>45576</v>
      </c>
      <c r="I230" s="3">
        <v>305</v>
      </c>
      <c r="J230">
        <v>11</v>
      </c>
      <c r="K230" t="s">
        <v>26</v>
      </c>
      <c r="L230" t="s">
        <v>32</v>
      </c>
      <c r="M230">
        <v>5</v>
      </c>
    </row>
    <row r="231" spans="1:13">
      <c r="A231" t="s">
        <v>508</v>
      </c>
      <c r="B231" t="s">
        <v>509</v>
      </c>
      <c r="C231" t="s">
        <v>24</v>
      </c>
      <c r="D231" t="s">
        <v>59</v>
      </c>
      <c r="E231" t="s">
        <v>56</v>
      </c>
      <c r="F231" t="s">
        <v>46</v>
      </c>
      <c r="G231" t="s">
        <v>31</v>
      </c>
      <c r="H231" s="2">
        <v>45576</v>
      </c>
      <c r="I231" s="3">
        <v>500</v>
      </c>
      <c r="J231">
        <v>25</v>
      </c>
      <c r="K231" t="s">
        <v>26</v>
      </c>
      <c r="L231" t="s">
        <v>32</v>
      </c>
      <c r="M231">
        <v>3</v>
      </c>
    </row>
    <row r="232" spans="1:13">
      <c r="A232" t="s">
        <v>61</v>
      </c>
      <c r="B232" t="s">
        <v>62</v>
      </c>
      <c r="C232" t="s">
        <v>35</v>
      </c>
      <c r="D232" t="s">
        <v>16</v>
      </c>
      <c r="E232" t="s">
        <v>17</v>
      </c>
      <c r="F232" t="s">
        <v>46</v>
      </c>
      <c r="G232" t="s">
        <v>41</v>
      </c>
      <c r="H232" s="2">
        <v>45571</v>
      </c>
      <c r="I232" s="3">
        <v>235</v>
      </c>
      <c r="J232">
        <v>7</v>
      </c>
      <c r="K232" t="s">
        <v>26</v>
      </c>
      <c r="L232" t="s">
        <v>50</v>
      </c>
      <c r="M232">
        <v>3</v>
      </c>
    </row>
    <row r="233" spans="1:13">
      <c r="A233" t="s">
        <v>206</v>
      </c>
      <c r="B233" t="s">
        <v>196</v>
      </c>
      <c r="C233" t="s">
        <v>44</v>
      </c>
      <c r="D233" t="s">
        <v>25</v>
      </c>
      <c r="E233" t="s">
        <v>88</v>
      </c>
      <c r="F233" t="s">
        <v>18</v>
      </c>
      <c r="G233" t="s">
        <v>19</v>
      </c>
      <c r="H233" s="2">
        <v>45570</v>
      </c>
      <c r="I233" s="3">
        <v>1005</v>
      </c>
      <c r="J233">
        <v>53</v>
      </c>
      <c r="K233" t="s">
        <v>26</v>
      </c>
      <c r="L233" t="s">
        <v>32</v>
      </c>
      <c r="M233">
        <v>2</v>
      </c>
    </row>
    <row r="234" spans="1:13">
      <c r="A234" t="s">
        <v>74</v>
      </c>
      <c r="B234" t="s">
        <v>75</v>
      </c>
      <c r="C234" t="s">
        <v>35</v>
      </c>
      <c r="D234" t="s">
        <v>45</v>
      </c>
      <c r="E234" t="s">
        <v>30</v>
      </c>
      <c r="F234" t="s">
        <v>46</v>
      </c>
      <c r="G234" t="s">
        <v>19</v>
      </c>
      <c r="H234" s="2">
        <v>45568</v>
      </c>
      <c r="I234" s="3">
        <v>215</v>
      </c>
      <c r="J234">
        <v>7</v>
      </c>
      <c r="K234" t="s">
        <v>26</v>
      </c>
      <c r="L234" t="s">
        <v>32</v>
      </c>
      <c r="M234">
        <v>4</v>
      </c>
    </row>
    <row r="235" spans="1:13">
      <c r="A235" t="s">
        <v>363</v>
      </c>
      <c r="B235" t="s">
        <v>193</v>
      </c>
      <c r="C235" t="s">
        <v>15</v>
      </c>
      <c r="D235" t="s">
        <v>25</v>
      </c>
      <c r="E235" t="s">
        <v>39</v>
      </c>
      <c r="F235" t="s">
        <v>18</v>
      </c>
      <c r="G235" t="s">
        <v>31</v>
      </c>
      <c r="H235" s="2">
        <v>45566</v>
      </c>
      <c r="I235" s="3">
        <v>370</v>
      </c>
      <c r="J235">
        <v>69</v>
      </c>
      <c r="K235" t="s">
        <v>26</v>
      </c>
      <c r="L235" t="s">
        <v>32</v>
      </c>
      <c r="M235">
        <v>5</v>
      </c>
    </row>
    <row r="236" spans="1:13">
      <c r="A236" t="s">
        <v>162</v>
      </c>
      <c r="B236" t="s">
        <v>160</v>
      </c>
      <c r="C236" t="s">
        <v>24</v>
      </c>
      <c r="D236" t="s">
        <v>25</v>
      </c>
      <c r="E236" t="s">
        <v>53</v>
      </c>
      <c r="F236" t="s">
        <v>60</v>
      </c>
      <c r="G236" t="s">
        <v>41</v>
      </c>
      <c r="H236" s="2">
        <v>45563</v>
      </c>
      <c r="I236" s="3">
        <v>450</v>
      </c>
      <c r="J236">
        <v>13</v>
      </c>
      <c r="K236" t="s">
        <v>26</v>
      </c>
      <c r="L236" t="s">
        <v>32</v>
      </c>
      <c r="M236">
        <v>4</v>
      </c>
    </row>
    <row r="237" spans="1:13">
      <c r="A237" t="s">
        <v>27</v>
      </c>
      <c r="B237" t="s">
        <v>28</v>
      </c>
      <c r="C237" t="s">
        <v>24</v>
      </c>
      <c r="D237" t="s">
        <v>29</v>
      </c>
      <c r="E237" t="s">
        <v>30</v>
      </c>
      <c r="F237" t="s">
        <v>18</v>
      </c>
      <c r="G237" t="s">
        <v>31</v>
      </c>
      <c r="H237" s="2">
        <v>45563</v>
      </c>
      <c r="I237" s="3">
        <v>995</v>
      </c>
      <c r="J237">
        <v>74</v>
      </c>
      <c r="K237" t="s">
        <v>26</v>
      </c>
      <c r="L237" t="s">
        <v>32</v>
      </c>
      <c r="M237">
        <v>4</v>
      </c>
    </row>
    <row r="238" spans="1:13">
      <c r="A238" t="s">
        <v>156</v>
      </c>
      <c r="B238" t="s">
        <v>62</v>
      </c>
      <c r="C238" t="s">
        <v>24</v>
      </c>
      <c r="D238" t="s">
        <v>25</v>
      </c>
      <c r="E238" t="s">
        <v>88</v>
      </c>
      <c r="F238" t="s">
        <v>46</v>
      </c>
      <c r="G238" t="s">
        <v>31</v>
      </c>
      <c r="H238" s="2">
        <v>45562</v>
      </c>
      <c r="I238" s="3">
        <v>85</v>
      </c>
      <c r="J238">
        <v>2</v>
      </c>
      <c r="K238" t="s">
        <v>26</v>
      </c>
      <c r="L238" t="s">
        <v>32</v>
      </c>
      <c r="M238">
        <v>2</v>
      </c>
    </row>
    <row r="239" spans="1:13">
      <c r="A239" t="s">
        <v>387</v>
      </c>
      <c r="B239" t="s">
        <v>94</v>
      </c>
      <c r="C239" t="s">
        <v>15</v>
      </c>
      <c r="D239" t="s">
        <v>49</v>
      </c>
      <c r="E239" t="s">
        <v>53</v>
      </c>
      <c r="F239" t="s">
        <v>18</v>
      </c>
      <c r="G239" t="s">
        <v>31</v>
      </c>
      <c r="H239" s="2">
        <v>45561</v>
      </c>
      <c r="I239" s="3">
        <v>205</v>
      </c>
      <c r="J239">
        <v>10</v>
      </c>
      <c r="K239" t="s">
        <v>26</v>
      </c>
      <c r="L239" t="s">
        <v>32</v>
      </c>
      <c r="M239">
        <v>3</v>
      </c>
    </row>
    <row r="240" spans="1:13">
      <c r="A240" t="s">
        <v>448</v>
      </c>
      <c r="B240" t="s">
        <v>73</v>
      </c>
      <c r="C240" t="s">
        <v>15</v>
      </c>
      <c r="D240" t="s">
        <v>25</v>
      </c>
      <c r="E240" t="s">
        <v>17</v>
      </c>
      <c r="F240" t="s">
        <v>36</v>
      </c>
      <c r="G240" t="s">
        <v>31</v>
      </c>
      <c r="H240" s="2">
        <v>45561</v>
      </c>
      <c r="I240" s="3">
        <v>475</v>
      </c>
      <c r="J240">
        <v>36</v>
      </c>
      <c r="K240" t="s">
        <v>26</v>
      </c>
      <c r="L240" t="s">
        <v>32</v>
      </c>
      <c r="M240">
        <v>2</v>
      </c>
    </row>
    <row r="241" spans="1:13">
      <c r="A241" t="s">
        <v>243</v>
      </c>
      <c r="B241" t="s">
        <v>122</v>
      </c>
      <c r="C241" t="s">
        <v>35</v>
      </c>
      <c r="D241" t="s">
        <v>25</v>
      </c>
      <c r="E241" t="s">
        <v>53</v>
      </c>
      <c r="F241" t="s">
        <v>36</v>
      </c>
      <c r="G241" t="s">
        <v>31</v>
      </c>
      <c r="H241" s="2">
        <v>45560</v>
      </c>
      <c r="I241" s="3">
        <v>325</v>
      </c>
      <c r="J241">
        <v>21</v>
      </c>
      <c r="K241" t="s">
        <v>26</v>
      </c>
      <c r="L241" t="s">
        <v>32</v>
      </c>
      <c r="M241">
        <v>4</v>
      </c>
    </row>
    <row r="242" spans="1:13">
      <c r="A242" t="s">
        <v>165</v>
      </c>
      <c r="B242" t="s">
        <v>52</v>
      </c>
      <c r="C242" t="s">
        <v>44</v>
      </c>
      <c r="D242" t="s">
        <v>45</v>
      </c>
      <c r="E242" t="s">
        <v>88</v>
      </c>
      <c r="F242" t="s">
        <v>60</v>
      </c>
      <c r="G242" t="s">
        <v>19</v>
      </c>
      <c r="H242" s="2">
        <v>45558</v>
      </c>
      <c r="I242" s="3">
        <v>200</v>
      </c>
      <c r="J242">
        <v>3</v>
      </c>
      <c r="K242" t="s">
        <v>26</v>
      </c>
      <c r="L242" t="s">
        <v>32</v>
      </c>
      <c r="M242">
        <v>2</v>
      </c>
    </row>
    <row r="243" spans="1:13">
      <c r="A243" t="s">
        <v>302</v>
      </c>
      <c r="B243" t="s">
        <v>191</v>
      </c>
      <c r="C243" t="s">
        <v>35</v>
      </c>
      <c r="D243" t="s">
        <v>16</v>
      </c>
      <c r="E243" t="s">
        <v>56</v>
      </c>
      <c r="F243" t="s">
        <v>46</v>
      </c>
      <c r="G243" t="s">
        <v>41</v>
      </c>
      <c r="H243" s="2">
        <v>45558</v>
      </c>
      <c r="I243" s="3">
        <v>450</v>
      </c>
      <c r="J243">
        <v>15</v>
      </c>
      <c r="K243" t="s">
        <v>26</v>
      </c>
      <c r="L243" t="s">
        <v>50</v>
      </c>
      <c r="M243">
        <v>4</v>
      </c>
    </row>
    <row r="244" spans="1:13">
      <c r="A244" t="s">
        <v>226</v>
      </c>
      <c r="B244" t="s">
        <v>227</v>
      </c>
      <c r="C244" t="s">
        <v>35</v>
      </c>
      <c r="D244" t="s">
        <v>29</v>
      </c>
      <c r="E244" t="s">
        <v>88</v>
      </c>
      <c r="F244" t="s">
        <v>18</v>
      </c>
      <c r="G244" t="s">
        <v>41</v>
      </c>
      <c r="H244" s="2">
        <v>45558</v>
      </c>
      <c r="I244" s="3">
        <v>1200</v>
      </c>
      <c r="J244">
        <v>73</v>
      </c>
      <c r="K244" t="s">
        <v>20</v>
      </c>
      <c r="L244" t="s">
        <v>32</v>
      </c>
      <c r="M244">
        <v>5</v>
      </c>
    </row>
    <row r="245" spans="1:13">
      <c r="A245" t="s">
        <v>250</v>
      </c>
      <c r="B245" t="s">
        <v>236</v>
      </c>
      <c r="C245" t="s">
        <v>24</v>
      </c>
      <c r="D245" t="s">
        <v>25</v>
      </c>
      <c r="E245" t="s">
        <v>56</v>
      </c>
      <c r="F245" t="s">
        <v>46</v>
      </c>
      <c r="G245" t="s">
        <v>41</v>
      </c>
      <c r="H245" s="2">
        <v>45557</v>
      </c>
      <c r="I245" s="3">
        <v>465</v>
      </c>
      <c r="J245">
        <v>19</v>
      </c>
      <c r="K245" t="s">
        <v>26</v>
      </c>
      <c r="L245" t="s">
        <v>32</v>
      </c>
      <c r="M245">
        <v>4</v>
      </c>
    </row>
    <row r="246" spans="1:13">
      <c r="A246" t="s">
        <v>253</v>
      </c>
      <c r="B246" t="s">
        <v>191</v>
      </c>
      <c r="C246" t="s">
        <v>24</v>
      </c>
      <c r="D246" t="s">
        <v>16</v>
      </c>
      <c r="E246" t="s">
        <v>53</v>
      </c>
      <c r="F246" t="s">
        <v>40</v>
      </c>
      <c r="G246" t="s">
        <v>19</v>
      </c>
      <c r="H246" s="2">
        <v>45555</v>
      </c>
      <c r="I246" s="3">
        <v>220</v>
      </c>
      <c r="J246">
        <v>7</v>
      </c>
      <c r="K246" t="s">
        <v>26</v>
      </c>
      <c r="L246" t="s">
        <v>32</v>
      </c>
      <c r="M246">
        <v>5</v>
      </c>
    </row>
    <row r="247" spans="1:13">
      <c r="A247" t="s">
        <v>327</v>
      </c>
      <c r="B247" t="s">
        <v>193</v>
      </c>
      <c r="C247" t="s">
        <v>24</v>
      </c>
      <c r="D247" t="s">
        <v>25</v>
      </c>
      <c r="E247" t="s">
        <v>17</v>
      </c>
      <c r="F247" t="s">
        <v>46</v>
      </c>
      <c r="G247" t="s">
        <v>31</v>
      </c>
      <c r="H247" s="2">
        <v>45555</v>
      </c>
      <c r="I247" s="3">
        <v>320</v>
      </c>
      <c r="J247">
        <v>25</v>
      </c>
      <c r="K247" t="s">
        <v>26</v>
      </c>
      <c r="L247" t="s">
        <v>32</v>
      </c>
      <c r="M247">
        <v>4</v>
      </c>
    </row>
    <row r="248" spans="1:13">
      <c r="A248" t="s">
        <v>459</v>
      </c>
      <c r="B248" t="s">
        <v>114</v>
      </c>
      <c r="C248" t="s">
        <v>15</v>
      </c>
      <c r="D248" t="s">
        <v>25</v>
      </c>
      <c r="E248" t="s">
        <v>17</v>
      </c>
      <c r="F248" t="s">
        <v>40</v>
      </c>
      <c r="G248" t="s">
        <v>31</v>
      </c>
      <c r="H248" s="2">
        <v>45554</v>
      </c>
      <c r="I248" s="3">
        <v>470</v>
      </c>
      <c r="J248">
        <v>23</v>
      </c>
      <c r="K248" t="s">
        <v>26</v>
      </c>
      <c r="L248" t="s">
        <v>32</v>
      </c>
      <c r="M248">
        <v>5</v>
      </c>
    </row>
    <row r="249" spans="1:13">
      <c r="A249" t="s">
        <v>460</v>
      </c>
      <c r="B249" t="s">
        <v>248</v>
      </c>
      <c r="C249" t="s">
        <v>35</v>
      </c>
      <c r="D249" t="s">
        <v>59</v>
      </c>
      <c r="E249" t="s">
        <v>39</v>
      </c>
      <c r="F249" t="s">
        <v>60</v>
      </c>
      <c r="G249" t="s">
        <v>19</v>
      </c>
      <c r="H249" s="2">
        <v>45553</v>
      </c>
      <c r="I249" s="3">
        <v>225</v>
      </c>
      <c r="J249">
        <v>5</v>
      </c>
      <c r="K249" t="s">
        <v>26</v>
      </c>
      <c r="L249" t="s">
        <v>21</v>
      </c>
      <c r="M249">
        <v>4</v>
      </c>
    </row>
    <row r="250" spans="1:13">
      <c r="A250" t="s">
        <v>217</v>
      </c>
      <c r="B250" t="s">
        <v>52</v>
      </c>
      <c r="C250" t="s">
        <v>44</v>
      </c>
      <c r="D250" t="s">
        <v>49</v>
      </c>
      <c r="E250" t="s">
        <v>39</v>
      </c>
      <c r="F250" t="s">
        <v>40</v>
      </c>
      <c r="G250" t="s">
        <v>31</v>
      </c>
      <c r="H250" s="2">
        <v>45551</v>
      </c>
      <c r="I250" s="3">
        <v>265</v>
      </c>
      <c r="J250">
        <v>12</v>
      </c>
      <c r="K250" t="s">
        <v>26</v>
      </c>
      <c r="L250" t="s">
        <v>32</v>
      </c>
      <c r="M250">
        <v>5</v>
      </c>
    </row>
    <row r="251" spans="1:13">
      <c r="A251" t="s">
        <v>271</v>
      </c>
      <c r="B251" t="s">
        <v>204</v>
      </c>
      <c r="C251" t="s">
        <v>44</v>
      </c>
      <c r="D251" t="s">
        <v>29</v>
      </c>
      <c r="E251" t="s">
        <v>56</v>
      </c>
      <c r="F251" t="s">
        <v>40</v>
      </c>
      <c r="G251" t="s">
        <v>31</v>
      </c>
      <c r="H251" s="2">
        <v>45547</v>
      </c>
      <c r="I251" s="3">
        <v>235</v>
      </c>
      <c r="J251">
        <v>19</v>
      </c>
      <c r="K251" t="s">
        <v>26</v>
      </c>
      <c r="L251" t="s">
        <v>21</v>
      </c>
      <c r="M251">
        <v>4</v>
      </c>
    </row>
    <row r="252" spans="1:13">
      <c r="A252" t="s">
        <v>145</v>
      </c>
      <c r="B252" t="s">
        <v>146</v>
      </c>
      <c r="C252" t="s">
        <v>44</v>
      </c>
      <c r="D252" t="s">
        <v>16</v>
      </c>
      <c r="E252" t="s">
        <v>17</v>
      </c>
      <c r="F252" t="s">
        <v>18</v>
      </c>
      <c r="G252" t="s">
        <v>41</v>
      </c>
      <c r="H252" s="2">
        <v>45546</v>
      </c>
      <c r="I252" s="3">
        <v>1145</v>
      </c>
      <c r="J252">
        <v>78</v>
      </c>
      <c r="K252" t="s">
        <v>26</v>
      </c>
      <c r="L252" t="s">
        <v>50</v>
      </c>
      <c r="M252">
        <v>3</v>
      </c>
    </row>
    <row r="253" spans="1:13">
      <c r="A253" t="s">
        <v>373</v>
      </c>
      <c r="B253" t="s">
        <v>374</v>
      </c>
      <c r="C253" t="s">
        <v>15</v>
      </c>
      <c r="D253" t="s">
        <v>25</v>
      </c>
      <c r="E253" t="s">
        <v>39</v>
      </c>
      <c r="F253" t="s">
        <v>36</v>
      </c>
      <c r="G253" t="s">
        <v>41</v>
      </c>
      <c r="H253" s="2">
        <v>45543</v>
      </c>
      <c r="I253" s="3">
        <v>1340</v>
      </c>
      <c r="J253">
        <v>76</v>
      </c>
      <c r="K253" t="s">
        <v>26</v>
      </c>
      <c r="L253" t="s">
        <v>21</v>
      </c>
      <c r="M253">
        <v>4</v>
      </c>
    </row>
    <row r="254" spans="1:13">
      <c r="A254" t="s">
        <v>237</v>
      </c>
      <c r="B254" t="s">
        <v>238</v>
      </c>
      <c r="C254" t="s">
        <v>44</v>
      </c>
      <c r="D254" t="s">
        <v>49</v>
      </c>
      <c r="E254" t="s">
        <v>39</v>
      </c>
      <c r="F254" t="s">
        <v>46</v>
      </c>
      <c r="G254" t="s">
        <v>41</v>
      </c>
      <c r="H254" s="2">
        <v>45542</v>
      </c>
      <c r="I254" s="3">
        <v>320</v>
      </c>
      <c r="J254">
        <v>9</v>
      </c>
      <c r="K254" t="s">
        <v>26</v>
      </c>
      <c r="L254" t="s">
        <v>32</v>
      </c>
      <c r="M254">
        <v>5</v>
      </c>
    </row>
    <row r="255" spans="1:13">
      <c r="A255" t="s">
        <v>490</v>
      </c>
      <c r="B255" t="s">
        <v>342</v>
      </c>
      <c r="C255" t="s">
        <v>35</v>
      </c>
      <c r="D255" t="s">
        <v>16</v>
      </c>
      <c r="E255" t="s">
        <v>56</v>
      </c>
      <c r="F255" t="s">
        <v>36</v>
      </c>
      <c r="G255" t="s">
        <v>31</v>
      </c>
      <c r="H255" s="2">
        <v>45536</v>
      </c>
      <c r="I255" s="3">
        <v>170</v>
      </c>
      <c r="J255">
        <v>3</v>
      </c>
      <c r="K255" t="s">
        <v>26</v>
      </c>
      <c r="L255" t="s">
        <v>50</v>
      </c>
      <c r="M255">
        <v>5</v>
      </c>
    </row>
    <row r="256" spans="1:13">
      <c r="A256" t="s">
        <v>57</v>
      </c>
      <c r="B256" t="s">
        <v>58</v>
      </c>
      <c r="C256" t="s">
        <v>44</v>
      </c>
      <c r="D256" t="s">
        <v>59</v>
      </c>
      <c r="E256" t="s">
        <v>53</v>
      </c>
      <c r="F256" t="s">
        <v>60</v>
      </c>
      <c r="G256" t="s">
        <v>31</v>
      </c>
      <c r="H256" s="2">
        <v>45536</v>
      </c>
      <c r="I256" s="3">
        <v>485</v>
      </c>
      <c r="J256">
        <v>22</v>
      </c>
      <c r="K256" t="s">
        <v>20</v>
      </c>
      <c r="L256" t="s">
        <v>50</v>
      </c>
      <c r="M256">
        <v>4</v>
      </c>
    </row>
    <row r="257" spans="1:13">
      <c r="A257" t="s">
        <v>393</v>
      </c>
      <c r="B257" t="s">
        <v>236</v>
      </c>
      <c r="C257" t="s">
        <v>15</v>
      </c>
      <c r="D257" t="s">
        <v>49</v>
      </c>
      <c r="E257" t="s">
        <v>88</v>
      </c>
      <c r="F257" t="s">
        <v>60</v>
      </c>
      <c r="G257" t="s">
        <v>19</v>
      </c>
      <c r="H257" s="2">
        <v>45527</v>
      </c>
      <c r="I257" s="3">
        <v>170</v>
      </c>
      <c r="J257">
        <v>1</v>
      </c>
      <c r="K257" t="s">
        <v>26</v>
      </c>
      <c r="L257" t="s">
        <v>21</v>
      </c>
      <c r="M257">
        <v>4</v>
      </c>
    </row>
    <row r="258" spans="1:13">
      <c r="A258" t="s">
        <v>71</v>
      </c>
      <c r="B258" t="s">
        <v>28</v>
      </c>
      <c r="C258" t="s">
        <v>24</v>
      </c>
      <c r="D258" t="s">
        <v>16</v>
      </c>
      <c r="E258" t="s">
        <v>30</v>
      </c>
      <c r="F258" t="s">
        <v>46</v>
      </c>
      <c r="G258" t="s">
        <v>41</v>
      </c>
      <c r="H258" s="2">
        <v>45522</v>
      </c>
      <c r="I258" s="3">
        <v>235</v>
      </c>
      <c r="J258">
        <v>4</v>
      </c>
      <c r="K258" t="s">
        <v>26</v>
      </c>
      <c r="L258" t="s">
        <v>32</v>
      </c>
      <c r="M258">
        <v>4</v>
      </c>
    </row>
    <row r="259" spans="1:13">
      <c r="A259" t="s">
        <v>410</v>
      </c>
      <c r="B259" t="s">
        <v>90</v>
      </c>
      <c r="C259" t="s">
        <v>24</v>
      </c>
      <c r="D259" t="s">
        <v>29</v>
      </c>
      <c r="E259" t="s">
        <v>30</v>
      </c>
      <c r="F259" t="s">
        <v>46</v>
      </c>
      <c r="G259" t="s">
        <v>19</v>
      </c>
      <c r="H259" s="2">
        <v>45519</v>
      </c>
      <c r="I259" s="3">
        <v>250</v>
      </c>
      <c r="J259">
        <v>13</v>
      </c>
      <c r="K259" t="s">
        <v>26</v>
      </c>
      <c r="L259" t="s">
        <v>32</v>
      </c>
      <c r="M259">
        <v>4</v>
      </c>
    </row>
    <row r="260" spans="1:13">
      <c r="A260" t="s">
        <v>285</v>
      </c>
      <c r="B260" t="s">
        <v>286</v>
      </c>
      <c r="C260" t="s">
        <v>24</v>
      </c>
      <c r="D260" t="s">
        <v>29</v>
      </c>
      <c r="E260" t="s">
        <v>88</v>
      </c>
      <c r="F260" t="s">
        <v>40</v>
      </c>
      <c r="G260" t="s">
        <v>19</v>
      </c>
      <c r="H260" s="2">
        <v>45517</v>
      </c>
      <c r="I260" s="3">
        <v>280</v>
      </c>
      <c r="J260">
        <v>9</v>
      </c>
      <c r="K260" t="s">
        <v>26</v>
      </c>
      <c r="L260" t="s">
        <v>32</v>
      </c>
      <c r="M260">
        <v>3</v>
      </c>
    </row>
    <row r="261" spans="1:13">
      <c r="A261" t="s">
        <v>418</v>
      </c>
      <c r="B261" t="s">
        <v>127</v>
      </c>
      <c r="C261" t="s">
        <v>44</v>
      </c>
      <c r="D261" t="s">
        <v>59</v>
      </c>
      <c r="E261" t="s">
        <v>88</v>
      </c>
      <c r="F261" t="s">
        <v>46</v>
      </c>
      <c r="G261" t="s">
        <v>19</v>
      </c>
      <c r="H261" s="2">
        <v>45516</v>
      </c>
      <c r="I261" s="3">
        <v>240</v>
      </c>
      <c r="J261">
        <v>12</v>
      </c>
      <c r="K261" t="s">
        <v>20</v>
      </c>
      <c r="L261" t="s">
        <v>32</v>
      </c>
      <c r="M261">
        <v>5</v>
      </c>
    </row>
    <row r="262" spans="1:13">
      <c r="A262" t="s">
        <v>154</v>
      </c>
      <c r="B262" t="s">
        <v>155</v>
      </c>
      <c r="C262" t="s">
        <v>44</v>
      </c>
      <c r="D262" t="s">
        <v>16</v>
      </c>
      <c r="E262" t="s">
        <v>39</v>
      </c>
      <c r="F262" t="s">
        <v>40</v>
      </c>
      <c r="G262" t="s">
        <v>19</v>
      </c>
      <c r="H262" s="2">
        <v>45511</v>
      </c>
      <c r="I262" s="3">
        <v>235</v>
      </c>
      <c r="J262">
        <v>5</v>
      </c>
      <c r="K262" t="s">
        <v>26</v>
      </c>
      <c r="L262" t="s">
        <v>32</v>
      </c>
      <c r="M262">
        <v>3</v>
      </c>
    </row>
    <row r="263" spans="1:13">
      <c r="A263" t="s">
        <v>311</v>
      </c>
      <c r="B263" t="s">
        <v>312</v>
      </c>
      <c r="C263" t="s">
        <v>24</v>
      </c>
      <c r="D263" t="s">
        <v>25</v>
      </c>
      <c r="E263" t="s">
        <v>56</v>
      </c>
      <c r="F263" t="s">
        <v>36</v>
      </c>
      <c r="G263" t="s">
        <v>19</v>
      </c>
      <c r="H263" s="2">
        <v>45508</v>
      </c>
      <c r="I263" s="3">
        <v>340</v>
      </c>
      <c r="J263">
        <v>18</v>
      </c>
      <c r="K263" t="s">
        <v>26</v>
      </c>
      <c r="L263" t="s">
        <v>50</v>
      </c>
      <c r="M263">
        <v>2</v>
      </c>
    </row>
    <row r="264" spans="1:13">
      <c r="A264" t="s">
        <v>109</v>
      </c>
      <c r="B264" t="s">
        <v>110</v>
      </c>
      <c r="C264" t="s">
        <v>24</v>
      </c>
      <c r="D264" t="s">
        <v>59</v>
      </c>
      <c r="E264" t="s">
        <v>53</v>
      </c>
      <c r="F264" t="s">
        <v>60</v>
      </c>
      <c r="G264" t="s">
        <v>19</v>
      </c>
      <c r="H264" s="2">
        <v>45505</v>
      </c>
      <c r="I264" s="3">
        <v>385</v>
      </c>
      <c r="J264">
        <v>23</v>
      </c>
      <c r="K264" t="s">
        <v>26</v>
      </c>
      <c r="L264" t="s">
        <v>21</v>
      </c>
      <c r="M264">
        <v>5</v>
      </c>
    </row>
    <row r="265" spans="1:13">
      <c r="A265" t="s">
        <v>307</v>
      </c>
      <c r="B265" t="s">
        <v>308</v>
      </c>
      <c r="C265" t="s">
        <v>24</v>
      </c>
      <c r="D265" t="s">
        <v>25</v>
      </c>
      <c r="E265" t="s">
        <v>17</v>
      </c>
      <c r="F265" t="s">
        <v>18</v>
      </c>
      <c r="G265" t="s">
        <v>41</v>
      </c>
      <c r="H265" s="2">
        <v>45504</v>
      </c>
      <c r="I265" s="3">
        <v>545</v>
      </c>
      <c r="J265">
        <v>61</v>
      </c>
      <c r="K265" t="s">
        <v>26</v>
      </c>
      <c r="L265" t="s">
        <v>32</v>
      </c>
      <c r="M265">
        <v>3</v>
      </c>
    </row>
    <row r="266" spans="1:13">
      <c r="A266" t="s">
        <v>514</v>
      </c>
      <c r="B266" t="s">
        <v>497</v>
      </c>
      <c r="C266" t="s">
        <v>44</v>
      </c>
      <c r="D266" t="s">
        <v>16</v>
      </c>
      <c r="E266" t="s">
        <v>88</v>
      </c>
      <c r="F266" t="s">
        <v>36</v>
      </c>
      <c r="G266" t="s">
        <v>31</v>
      </c>
      <c r="H266" s="2">
        <v>45498</v>
      </c>
      <c r="I266" s="3">
        <v>760</v>
      </c>
      <c r="J266">
        <v>71</v>
      </c>
      <c r="K266" t="s">
        <v>26</v>
      </c>
      <c r="L266" t="s">
        <v>32</v>
      </c>
      <c r="M266">
        <v>4</v>
      </c>
    </row>
    <row r="267" spans="1:13">
      <c r="A267" t="s">
        <v>67</v>
      </c>
      <c r="B267" t="s">
        <v>68</v>
      </c>
      <c r="C267" t="s">
        <v>35</v>
      </c>
      <c r="D267" t="s">
        <v>29</v>
      </c>
      <c r="E267" t="s">
        <v>17</v>
      </c>
      <c r="F267" t="s">
        <v>18</v>
      </c>
      <c r="G267" t="s">
        <v>31</v>
      </c>
      <c r="H267" s="2">
        <v>45497</v>
      </c>
      <c r="I267" s="3">
        <v>1045</v>
      </c>
      <c r="J267">
        <v>75</v>
      </c>
      <c r="K267" t="s">
        <v>20</v>
      </c>
      <c r="L267" t="s">
        <v>32</v>
      </c>
      <c r="M267">
        <v>3</v>
      </c>
    </row>
    <row r="268" spans="1:13">
      <c r="A268" t="s">
        <v>350</v>
      </c>
      <c r="B268" t="s">
        <v>351</v>
      </c>
      <c r="C268" t="s">
        <v>35</v>
      </c>
      <c r="D268" t="s">
        <v>45</v>
      </c>
      <c r="E268" t="s">
        <v>17</v>
      </c>
      <c r="F268" t="s">
        <v>18</v>
      </c>
      <c r="G268" t="s">
        <v>41</v>
      </c>
      <c r="H268" s="2">
        <v>45496</v>
      </c>
      <c r="I268" s="3">
        <v>470</v>
      </c>
      <c r="J268">
        <v>20</v>
      </c>
      <c r="K268" t="s">
        <v>20</v>
      </c>
      <c r="L268" t="s">
        <v>32</v>
      </c>
      <c r="M268">
        <v>5</v>
      </c>
    </row>
    <row r="269" spans="1:13">
      <c r="A269" t="s">
        <v>54</v>
      </c>
      <c r="B269" t="s">
        <v>55</v>
      </c>
      <c r="C269" t="s">
        <v>44</v>
      </c>
      <c r="D269" t="s">
        <v>25</v>
      </c>
      <c r="E269" t="s">
        <v>56</v>
      </c>
      <c r="F269" t="s">
        <v>36</v>
      </c>
      <c r="G269" t="s">
        <v>41</v>
      </c>
      <c r="H269" s="2">
        <v>45494</v>
      </c>
      <c r="I269" s="3">
        <v>560</v>
      </c>
      <c r="J269">
        <v>19</v>
      </c>
      <c r="K269" t="s">
        <v>26</v>
      </c>
      <c r="L269" t="s">
        <v>32</v>
      </c>
      <c r="M269">
        <v>4</v>
      </c>
    </row>
    <row r="270" spans="1:13">
      <c r="A270" t="s">
        <v>471</v>
      </c>
      <c r="B270" t="s">
        <v>106</v>
      </c>
      <c r="C270" t="s">
        <v>15</v>
      </c>
      <c r="D270" t="s">
        <v>49</v>
      </c>
      <c r="E270" t="s">
        <v>56</v>
      </c>
      <c r="F270" t="s">
        <v>40</v>
      </c>
      <c r="G270" t="s">
        <v>41</v>
      </c>
      <c r="H270" s="2">
        <v>45489</v>
      </c>
      <c r="I270" s="3">
        <v>405</v>
      </c>
      <c r="J270">
        <v>13</v>
      </c>
      <c r="K270" t="s">
        <v>26</v>
      </c>
      <c r="L270" t="s">
        <v>50</v>
      </c>
      <c r="M270">
        <v>4</v>
      </c>
    </row>
    <row r="271" spans="1:13">
      <c r="A271" t="s">
        <v>303</v>
      </c>
      <c r="B271" t="s">
        <v>304</v>
      </c>
      <c r="C271" t="s">
        <v>24</v>
      </c>
      <c r="D271" t="s">
        <v>25</v>
      </c>
      <c r="E271" t="s">
        <v>17</v>
      </c>
      <c r="F271" t="s">
        <v>40</v>
      </c>
      <c r="G271" t="s">
        <v>41</v>
      </c>
      <c r="H271" s="2">
        <v>45483</v>
      </c>
      <c r="I271" s="3">
        <v>310</v>
      </c>
      <c r="J271">
        <v>3</v>
      </c>
      <c r="K271" t="s">
        <v>26</v>
      </c>
      <c r="L271" t="s">
        <v>50</v>
      </c>
      <c r="M271">
        <v>4</v>
      </c>
    </row>
    <row r="272" spans="1:13">
      <c r="A272" t="s">
        <v>296</v>
      </c>
      <c r="B272" t="s">
        <v>297</v>
      </c>
      <c r="C272" t="s">
        <v>35</v>
      </c>
      <c r="D272" t="s">
        <v>45</v>
      </c>
      <c r="E272" t="s">
        <v>30</v>
      </c>
      <c r="F272" t="s">
        <v>18</v>
      </c>
      <c r="G272" t="s">
        <v>31</v>
      </c>
      <c r="H272" s="2">
        <v>45480</v>
      </c>
      <c r="I272" s="3">
        <v>580</v>
      </c>
      <c r="J272">
        <v>50</v>
      </c>
      <c r="K272" t="s">
        <v>26</v>
      </c>
      <c r="L272" t="s">
        <v>32</v>
      </c>
      <c r="M272">
        <v>3</v>
      </c>
    </row>
    <row r="273" spans="1:13">
      <c r="A273" t="s">
        <v>287</v>
      </c>
      <c r="B273" t="s">
        <v>79</v>
      </c>
      <c r="C273" t="s">
        <v>15</v>
      </c>
      <c r="D273" t="s">
        <v>49</v>
      </c>
      <c r="E273" t="s">
        <v>17</v>
      </c>
      <c r="F273" t="s">
        <v>40</v>
      </c>
      <c r="G273" t="s">
        <v>41</v>
      </c>
      <c r="H273" s="2">
        <v>45477</v>
      </c>
      <c r="I273" s="3">
        <v>360</v>
      </c>
      <c r="J273">
        <v>11</v>
      </c>
      <c r="K273" t="s">
        <v>26</v>
      </c>
      <c r="L273" t="s">
        <v>32</v>
      </c>
      <c r="M273">
        <v>4</v>
      </c>
    </row>
    <row r="274" spans="1:13">
      <c r="A274" t="s">
        <v>526</v>
      </c>
      <c r="B274" t="s">
        <v>148</v>
      </c>
      <c r="C274" t="s">
        <v>15</v>
      </c>
      <c r="D274" t="s">
        <v>49</v>
      </c>
      <c r="E274" t="s">
        <v>39</v>
      </c>
      <c r="F274" t="s">
        <v>40</v>
      </c>
      <c r="G274" t="s">
        <v>41</v>
      </c>
      <c r="H274" s="2">
        <v>45476</v>
      </c>
      <c r="I274" s="3">
        <v>475</v>
      </c>
      <c r="J274">
        <v>19</v>
      </c>
      <c r="K274" t="s">
        <v>20</v>
      </c>
      <c r="L274" t="s">
        <v>50</v>
      </c>
      <c r="M274">
        <v>5</v>
      </c>
    </row>
    <row r="275" spans="1:13">
      <c r="A275" t="s">
        <v>123</v>
      </c>
      <c r="B275" t="s">
        <v>104</v>
      </c>
      <c r="C275" t="s">
        <v>44</v>
      </c>
      <c r="D275" t="s">
        <v>16</v>
      </c>
      <c r="E275" t="s">
        <v>53</v>
      </c>
      <c r="F275" t="s">
        <v>46</v>
      </c>
      <c r="G275" t="s">
        <v>41</v>
      </c>
      <c r="H275" s="2">
        <v>45472</v>
      </c>
      <c r="I275" s="3">
        <v>245</v>
      </c>
      <c r="J275">
        <v>10</v>
      </c>
      <c r="K275" t="s">
        <v>26</v>
      </c>
      <c r="L275" t="s">
        <v>32</v>
      </c>
      <c r="M275">
        <v>4</v>
      </c>
    </row>
    <row r="276" spans="1:13">
      <c r="A276" t="s">
        <v>276</v>
      </c>
      <c r="B276" t="s">
        <v>277</v>
      </c>
      <c r="C276" t="s">
        <v>24</v>
      </c>
      <c r="D276" t="s">
        <v>59</v>
      </c>
      <c r="E276" t="s">
        <v>56</v>
      </c>
      <c r="F276" t="s">
        <v>60</v>
      </c>
      <c r="G276" t="s">
        <v>41</v>
      </c>
      <c r="H276" s="2">
        <v>45470</v>
      </c>
      <c r="I276" s="3">
        <v>440</v>
      </c>
      <c r="J276">
        <v>11</v>
      </c>
      <c r="K276" t="s">
        <v>26</v>
      </c>
      <c r="L276" t="s">
        <v>50</v>
      </c>
      <c r="M276">
        <v>3</v>
      </c>
    </row>
    <row r="277" spans="1:13">
      <c r="A277" t="s">
        <v>529</v>
      </c>
      <c r="B277" t="s">
        <v>361</v>
      </c>
      <c r="C277" t="s">
        <v>44</v>
      </c>
      <c r="D277" t="s">
        <v>49</v>
      </c>
      <c r="E277" t="s">
        <v>56</v>
      </c>
      <c r="F277" t="s">
        <v>36</v>
      </c>
      <c r="G277" t="s">
        <v>31</v>
      </c>
      <c r="H277" s="2">
        <v>45470</v>
      </c>
      <c r="I277" s="3">
        <v>640</v>
      </c>
      <c r="J277">
        <v>54</v>
      </c>
      <c r="K277" t="s">
        <v>26</v>
      </c>
      <c r="L277" t="s">
        <v>32</v>
      </c>
      <c r="M277">
        <v>5</v>
      </c>
    </row>
    <row r="278" spans="1:13">
      <c r="A278" t="s">
        <v>382</v>
      </c>
      <c r="B278" t="s">
        <v>383</v>
      </c>
      <c r="C278" t="s">
        <v>15</v>
      </c>
      <c r="D278" t="s">
        <v>45</v>
      </c>
      <c r="E278" t="s">
        <v>56</v>
      </c>
      <c r="F278" t="s">
        <v>40</v>
      </c>
      <c r="G278" t="s">
        <v>19</v>
      </c>
      <c r="H278" s="2">
        <v>45469</v>
      </c>
      <c r="I278" s="3">
        <v>280</v>
      </c>
      <c r="J278">
        <v>6</v>
      </c>
      <c r="K278" t="s">
        <v>26</v>
      </c>
      <c r="L278" t="s">
        <v>32</v>
      </c>
      <c r="M278">
        <v>4</v>
      </c>
    </row>
    <row r="279" spans="1:13">
      <c r="A279" t="s">
        <v>399</v>
      </c>
      <c r="B279" t="s">
        <v>125</v>
      </c>
      <c r="C279" t="s">
        <v>44</v>
      </c>
      <c r="D279" t="s">
        <v>49</v>
      </c>
      <c r="E279" t="s">
        <v>39</v>
      </c>
      <c r="F279" t="s">
        <v>60</v>
      </c>
      <c r="G279" t="s">
        <v>41</v>
      </c>
      <c r="H279" s="2">
        <v>45465</v>
      </c>
      <c r="I279" s="3">
        <v>525</v>
      </c>
      <c r="J279">
        <v>17</v>
      </c>
      <c r="K279" t="s">
        <v>26</v>
      </c>
      <c r="L279" t="s">
        <v>32</v>
      </c>
      <c r="M279">
        <v>5</v>
      </c>
    </row>
    <row r="280" spans="1:13">
      <c r="A280" t="s">
        <v>437</v>
      </c>
      <c r="B280" t="s">
        <v>193</v>
      </c>
      <c r="C280" t="s">
        <v>15</v>
      </c>
      <c r="D280" t="s">
        <v>45</v>
      </c>
      <c r="E280" t="s">
        <v>56</v>
      </c>
      <c r="F280" t="s">
        <v>46</v>
      </c>
      <c r="G280" t="s">
        <v>41</v>
      </c>
      <c r="H280" s="2">
        <v>45464</v>
      </c>
      <c r="I280" s="3">
        <v>185</v>
      </c>
      <c r="J280">
        <v>1</v>
      </c>
      <c r="K280" t="s">
        <v>20</v>
      </c>
      <c r="L280" t="s">
        <v>32</v>
      </c>
      <c r="M280">
        <v>5</v>
      </c>
    </row>
    <row r="281" spans="1:13">
      <c r="A281" t="s">
        <v>360</v>
      </c>
      <c r="B281" t="s">
        <v>361</v>
      </c>
      <c r="C281" t="s">
        <v>24</v>
      </c>
      <c r="D281" t="s">
        <v>49</v>
      </c>
      <c r="E281" t="s">
        <v>53</v>
      </c>
      <c r="F281" t="s">
        <v>18</v>
      </c>
      <c r="G281" t="s">
        <v>41</v>
      </c>
      <c r="H281" s="2">
        <v>45460</v>
      </c>
      <c r="I281" s="3">
        <v>625</v>
      </c>
      <c r="J281">
        <v>58</v>
      </c>
      <c r="K281" t="s">
        <v>26</v>
      </c>
      <c r="L281" t="s">
        <v>32</v>
      </c>
      <c r="M281">
        <v>4</v>
      </c>
    </row>
    <row r="282" spans="1:13">
      <c r="A282" t="s">
        <v>313</v>
      </c>
      <c r="B282" t="s">
        <v>75</v>
      </c>
      <c r="C282" t="s">
        <v>35</v>
      </c>
      <c r="D282" t="s">
        <v>45</v>
      </c>
      <c r="E282" t="s">
        <v>88</v>
      </c>
      <c r="F282" t="s">
        <v>36</v>
      </c>
      <c r="G282" t="s">
        <v>41</v>
      </c>
      <c r="H282" s="2">
        <v>45458</v>
      </c>
      <c r="I282" s="3">
        <v>605</v>
      </c>
      <c r="J282">
        <v>23</v>
      </c>
      <c r="K282" t="s">
        <v>26</v>
      </c>
      <c r="L282" t="s">
        <v>32</v>
      </c>
      <c r="M282">
        <v>4</v>
      </c>
    </row>
    <row r="283" spans="1:13">
      <c r="A283" t="s">
        <v>397</v>
      </c>
      <c r="B283" t="s">
        <v>398</v>
      </c>
      <c r="C283" t="s">
        <v>24</v>
      </c>
      <c r="D283" t="s">
        <v>25</v>
      </c>
      <c r="E283" t="s">
        <v>39</v>
      </c>
      <c r="F283" t="s">
        <v>46</v>
      </c>
      <c r="G283" t="s">
        <v>31</v>
      </c>
      <c r="H283" s="2">
        <v>45457</v>
      </c>
      <c r="I283" s="3">
        <v>120</v>
      </c>
      <c r="J283">
        <v>7</v>
      </c>
      <c r="K283" t="s">
        <v>26</v>
      </c>
      <c r="L283" t="s">
        <v>32</v>
      </c>
      <c r="M283">
        <v>3</v>
      </c>
    </row>
    <row r="284" spans="1:13">
      <c r="A284" t="s">
        <v>544</v>
      </c>
      <c r="B284" t="s">
        <v>545</v>
      </c>
      <c r="C284" t="s">
        <v>35</v>
      </c>
      <c r="D284" t="s">
        <v>49</v>
      </c>
      <c r="E284" t="s">
        <v>39</v>
      </c>
      <c r="F284" t="s">
        <v>40</v>
      </c>
      <c r="G284" t="s">
        <v>31</v>
      </c>
      <c r="H284" s="2">
        <v>45451</v>
      </c>
      <c r="I284" s="3">
        <v>470</v>
      </c>
      <c r="J284">
        <v>21</v>
      </c>
      <c r="K284" t="s">
        <v>20</v>
      </c>
      <c r="L284" t="s">
        <v>50</v>
      </c>
      <c r="M284">
        <v>4</v>
      </c>
    </row>
    <row r="285" spans="1:13">
      <c r="A285" t="s">
        <v>479</v>
      </c>
      <c r="B285" t="s">
        <v>390</v>
      </c>
      <c r="C285" t="s">
        <v>15</v>
      </c>
      <c r="D285" t="s">
        <v>45</v>
      </c>
      <c r="E285" t="s">
        <v>30</v>
      </c>
      <c r="F285" t="s">
        <v>36</v>
      </c>
      <c r="G285" t="s">
        <v>31</v>
      </c>
      <c r="H285" s="2">
        <v>45451</v>
      </c>
      <c r="I285" s="3">
        <v>475</v>
      </c>
      <c r="J285">
        <v>70</v>
      </c>
      <c r="K285" t="s">
        <v>26</v>
      </c>
      <c r="L285" t="s">
        <v>32</v>
      </c>
      <c r="M285">
        <v>5</v>
      </c>
    </row>
    <row r="286" spans="1:13">
      <c r="A286" t="s">
        <v>419</v>
      </c>
      <c r="B286" t="s">
        <v>94</v>
      </c>
      <c r="C286" t="s">
        <v>44</v>
      </c>
      <c r="D286" t="s">
        <v>49</v>
      </c>
      <c r="E286" t="s">
        <v>56</v>
      </c>
      <c r="F286" t="s">
        <v>18</v>
      </c>
      <c r="G286" t="s">
        <v>31</v>
      </c>
      <c r="H286" s="2">
        <v>45440</v>
      </c>
      <c r="I286" s="3">
        <v>185</v>
      </c>
      <c r="J286">
        <v>10</v>
      </c>
      <c r="K286" t="s">
        <v>26</v>
      </c>
      <c r="L286" t="s">
        <v>50</v>
      </c>
      <c r="M286">
        <v>2</v>
      </c>
    </row>
    <row r="287" spans="1:13">
      <c r="A287" t="s">
        <v>246</v>
      </c>
      <c r="B287" t="s">
        <v>38</v>
      </c>
      <c r="C287" t="s">
        <v>35</v>
      </c>
      <c r="D287" t="s">
        <v>16</v>
      </c>
      <c r="E287" t="s">
        <v>17</v>
      </c>
      <c r="F287" t="s">
        <v>18</v>
      </c>
      <c r="G287" t="s">
        <v>41</v>
      </c>
      <c r="H287" s="2">
        <v>45439</v>
      </c>
      <c r="I287" s="3">
        <v>580</v>
      </c>
      <c r="J287">
        <v>30</v>
      </c>
      <c r="K287" t="s">
        <v>26</v>
      </c>
      <c r="L287" t="s">
        <v>32</v>
      </c>
      <c r="M287">
        <v>4</v>
      </c>
    </row>
    <row r="288" spans="1:13">
      <c r="A288" t="s">
        <v>533</v>
      </c>
      <c r="B288" t="s">
        <v>534</v>
      </c>
      <c r="C288" t="s">
        <v>35</v>
      </c>
      <c r="D288" t="s">
        <v>25</v>
      </c>
      <c r="E288" t="s">
        <v>88</v>
      </c>
      <c r="F288" t="s">
        <v>36</v>
      </c>
      <c r="G288" t="s">
        <v>31</v>
      </c>
      <c r="H288" s="2">
        <v>45435</v>
      </c>
      <c r="I288" s="3">
        <v>945</v>
      </c>
      <c r="J288">
        <v>58</v>
      </c>
      <c r="K288" t="s">
        <v>26</v>
      </c>
      <c r="L288" t="s">
        <v>32</v>
      </c>
      <c r="M288">
        <v>5</v>
      </c>
    </row>
    <row r="289" spans="1:13">
      <c r="A289" t="s">
        <v>37</v>
      </c>
      <c r="B289" t="s">
        <v>38</v>
      </c>
      <c r="C289" t="s">
        <v>35</v>
      </c>
      <c r="D289" t="s">
        <v>29</v>
      </c>
      <c r="E289" t="s">
        <v>39</v>
      </c>
      <c r="F289" t="s">
        <v>40</v>
      </c>
      <c r="G289" t="s">
        <v>41</v>
      </c>
      <c r="H289" s="2">
        <v>45427</v>
      </c>
      <c r="I289" s="3">
        <v>390</v>
      </c>
      <c r="J289">
        <v>18</v>
      </c>
      <c r="K289" t="s">
        <v>26</v>
      </c>
      <c r="L289" t="s">
        <v>32</v>
      </c>
      <c r="M289">
        <v>4</v>
      </c>
    </row>
    <row r="290" spans="1:13">
      <c r="A290" t="s">
        <v>152</v>
      </c>
      <c r="B290" t="s">
        <v>153</v>
      </c>
      <c r="C290" t="s">
        <v>15</v>
      </c>
      <c r="D290" t="s">
        <v>45</v>
      </c>
      <c r="E290" t="s">
        <v>17</v>
      </c>
      <c r="F290" t="s">
        <v>18</v>
      </c>
      <c r="G290" t="s">
        <v>19</v>
      </c>
      <c r="H290" s="2">
        <v>45426</v>
      </c>
      <c r="I290" s="3">
        <v>250</v>
      </c>
      <c r="J290">
        <v>7</v>
      </c>
      <c r="K290" t="s">
        <v>20</v>
      </c>
      <c r="L290" t="s">
        <v>32</v>
      </c>
      <c r="M290">
        <v>3</v>
      </c>
    </row>
    <row r="291" spans="1:13">
      <c r="A291" t="s">
        <v>244</v>
      </c>
      <c r="B291" t="s">
        <v>245</v>
      </c>
      <c r="C291" t="s">
        <v>15</v>
      </c>
      <c r="D291" t="s">
        <v>59</v>
      </c>
      <c r="E291" t="s">
        <v>39</v>
      </c>
      <c r="F291" t="s">
        <v>40</v>
      </c>
      <c r="G291" t="s">
        <v>41</v>
      </c>
      <c r="H291" s="2">
        <v>45420</v>
      </c>
      <c r="I291" s="3">
        <v>290</v>
      </c>
      <c r="J291">
        <v>2</v>
      </c>
      <c r="K291" t="s">
        <v>26</v>
      </c>
      <c r="L291" t="s">
        <v>32</v>
      </c>
      <c r="M291">
        <v>2</v>
      </c>
    </row>
    <row r="292" spans="1:13">
      <c r="A292" t="s">
        <v>275</v>
      </c>
      <c r="B292" t="s">
        <v>148</v>
      </c>
      <c r="C292" t="s">
        <v>44</v>
      </c>
      <c r="D292" t="s">
        <v>16</v>
      </c>
      <c r="E292" t="s">
        <v>53</v>
      </c>
      <c r="F292" t="s">
        <v>60</v>
      </c>
      <c r="G292" t="s">
        <v>31</v>
      </c>
      <c r="H292" s="2">
        <v>45419</v>
      </c>
      <c r="I292" s="3">
        <v>230</v>
      </c>
      <c r="J292">
        <v>12</v>
      </c>
      <c r="K292" t="s">
        <v>26</v>
      </c>
      <c r="L292" t="s">
        <v>32</v>
      </c>
      <c r="M292">
        <v>2</v>
      </c>
    </row>
    <row r="293" spans="1:13">
      <c r="A293" t="s">
        <v>334</v>
      </c>
      <c r="B293" t="s">
        <v>335</v>
      </c>
      <c r="C293" t="s">
        <v>15</v>
      </c>
      <c r="D293" t="s">
        <v>16</v>
      </c>
      <c r="E293" t="s">
        <v>53</v>
      </c>
      <c r="F293" t="s">
        <v>40</v>
      </c>
      <c r="G293" t="s">
        <v>31</v>
      </c>
      <c r="H293" s="2">
        <v>45415</v>
      </c>
      <c r="I293" s="3">
        <v>210</v>
      </c>
      <c r="J293">
        <v>23</v>
      </c>
      <c r="K293" t="s">
        <v>26</v>
      </c>
      <c r="L293" t="s">
        <v>21</v>
      </c>
      <c r="M293">
        <v>4</v>
      </c>
    </row>
    <row r="294" spans="1:13">
      <c r="A294" t="s">
        <v>323</v>
      </c>
      <c r="B294" t="s">
        <v>324</v>
      </c>
      <c r="C294" t="s">
        <v>44</v>
      </c>
      <c r="D294" t="s">
        <v>16</v>
      </c>
      <c r="E294" t="s">
        <v>17</v>
      </c>
      <c r="F294" t="s">
        <v>46</v>
      </c>
      <c r="G294" t="s">
        <v>41</v>
      </c>
      <c r="H294" s="2">
        <v>45415</v>
      </c>
      <c r="I294" s="3">
        <v>440</v>
      </c>
      <c r="J294">
        <v>16</v>
      </c>
      <c r="K294" t="s">
        <v>26</v>
      </c>
      <c r="L294" t="s">
        <v>21</v>
      </c>
      <c r="M294">
        <v>4</v>
      </c>
    </row>
    <row r="295" spans="1:13">
      <c r="A295" t="s">
        <v>121</v>
      </c>
      <c r="B295" t="s">
        <v>122</v>
      </c>
      <c r="C295" t="s">
        <v>35</v>
      </c>
      <c r="D295" t="s">
        <v>45</v>
      </c>
      <c r="E295" t="s">
        <v>17</v>
      </c>
      <c r="F295" t="s">
        <v>40</v>
      </c>
      <c r="G295" t="s">
        <v>19</v>
      </c>
      <c r="H295" s="2">
        <v>45414</v>
      </c>
      <c r="I295" s="3">
        <v>425</v>
      </c>
      <c r="J295">
        <v>16</v>
      </c>
      <c r="K295" t="s">
        <v>26</v>
      </c>
      <c r="L295" t="s">
        <v>32</v>
      </c>
      <c r="M295">
        <v>2</v>
      </c>
    </row>
    <row r="296" spans="1:13">
      <c r="A296" t="s">
        <v>498</v>
      </c>
      <c r="B296" t="s">
        <v>398</v>
      </c>
      <c r="C296" t="s">
        <v>44</v>
      </c>
      <c r="D296" t="s">
        <v>25</v>
      </c>
      <c r="E296" t="s">
        <v>30</v>
      </c>
      <c r="F296" t="s">
        <v>36</v>
      </c>
      <c r="G296" t="s">
        <v>41</v>
      </c>
      <c r="H296" s="2">
        <v>45414</v>
      </c>
      <c r="I296" s="3">
        <v>690</v>
      </c>
      <c r="J296">
        <v>50</v>
      </c>
      <c r="K296" t="s">
        <v>26</v>
      </c>
      <c r="L296" t="s">
        <v>21</v>
      </c>
      <c r="M296">
        <v>2</v>
      </c>
    </row>
    <row r="297" spans="1:13">
      <c r="A297" t="s">
        <v>136</v>
      </c>
      <c r="B297" t="s">
        <v>137</v>
      </c>
      <c r="C297" t="s">
        <v>138</v>
      </c>
      <c r="D297" t="s">
        <v>45</v>
      </c>
      <c r="E297" t="s">
        <v>39</v>
      </c>
      <c r="F297" t="s">
        <v>18</v>
      </c>
      <c r="G297" t="s">
        <v>41</v>
      </c>
      <c r="H297" s="2">
        <v>45409</v>
      </c>
      <c r="I297" s="3">
        <v>375</v>
      </c>
      <c r="J297">
        <v>20</v>
      </c>
      <c r="K297" t="s">
        <v>26</v>
      </c>
      <c r="L297" t="s">
        <v>50</v>
      </c>
      <c r="M297">
        <v>5</v>
      </c>
    </row>
    <row r="298" spans="1:13">
      <c r="A298" t="s">
        <v>201</v>
      </c>
      <c r="B298" t="s">
        <v>202</v>
      </c>
      <c r="C298" t="s">
        <v>24</v>
      </c>
      <c r="D298" t="s">
        <v>49</v>
      </c>
      <c r="E298" t="s">
        <v>30</v>
      </c>
      <c r="F298" t="s">
        <v>60</v>
      </c>
      <c r="G298" t="s">
        <v>41</v>
      </c>
      <c r="H298" s="2">
        <v>45408</v>
      </c>
      <c r="I298" s="3">
        <v>630</v>
      </c>
      <c r="J298">
        <v>24</v>
      </c>
      <c r="K298" t="s">
        <v>26</v>
      </c>
      <c r="L298" t="s">
        <v>50</v>
      </c>
      <c r="M298">
        <v>3</v>
      </c>
    </row>
    <row r="299" spans="1:13">
      <c r="A299" t="s">
        <v>200</v>
      </c>
      <c r="B299" t="s">
        <v>125</v>
      </c>
      <c r="C299" t="s">
        <v>24</v>
      </c>
      <c r="D299" t="s">
        <v>29</v>
      </c>
      <c r="E299" t="s">
        <v>30</v>
      </c>
      <c r="F299" t="s">
        <v>18</v>
      </c>
      <c r="G299" t="s">
        <v>41</v>
      </c>
      <c r="H299" s="2">
        <v>45405</v>
      </c>
      <c r="I299" s="3">
        <v>495</v>
      </c>
      <c r="J299">
        <v>56</v>
      </c>
      <c r="K299" t="s">
        <v>26</v>
      </c>
      <c r="L299" t="s">
        <v>50</v>
      </c>
      <c r="M299">
        <v>4</v>
      </c>
    </row>
    <row r="300" spans="1:13">
      <c r="A300" t="s">
        <v>288</v>
      </c>
      <c r="B300" t="s">
        <v>289</v>
      </c>
      <c r="C300" t="s">
        <v>35</v>
      </c>
      <c r="D300" t="s">
        <v>49</v>
      </c>
      <c r="E300" t="s">
        <v>30</v>
      </c>
      <c r="F300" t="s">
        <v>18</v>
      </c>
      <c r="G300" t="s">
        <v>19</v>
      </c>
      <c r="H300" s="2">
        <v>45402</v>
      </c>
      <c r="I300" s="3">
        <v>795</v>
      </c>
      <c r="J300">
        <v>44</v>
      </c>
      <c r="K300" t="s">
        <v>26</v>
      </c>
      <c r="L300" t="s">
        <v>32</v>
      </c>
      <c r="M300">
        <v>3</v>
      </c>
    </row>
    <row r="301" spans="1:13">
      <c r="A301" t="s">
        <v>199</v>
      </c>
      <c r="B301" t="s">
        <v>191</v>
      </c>
      <c r="C301" t="s">
        <v>35</v>
      </c>
      <c r="D301" t="s">
        <v>16</v>
      </c>
      <c r="E301" t="s">
        <v>53</v>
      </c>
      <c r="F301" t="s">
        <v>36</v>
      </c>
      <c r="G301" t="s">
        <v>41</v>
      </c>
      <c r="H301" s="2">
        <v>45402</v>
      </c>
      <c r="I301" s="3">
        <v>1105</v>
      </c>
      <c r="J301">
        <v>44</v>
      </c>
      <c r="K301" t="s">
        <v>26</v>
      </c>
      <c r="L301" t="s">
        <v>21</v>
      </c>
      <c r="M301">
        <v>5</v>
      </c>
    </row>
    <row r="302" spans="1:13">
      <c r="A302" t="s">
        <v>256</v>
      </c>
      <c r="B302" t="s">
        <v>257</v>
      </c>
      <c r="C302" t="s">
        <v>15</v>
      </c>
      <c r="D302" t="s">
        <v>16</v>
      </c>
      <c r="E302" t="s">
        <v>56</v>
      </c>
      <c r="F302" t="s">
        <v>40</v>
      </c>
      <c r="G302" t="s">
        <v>31</v>
      </c>
      <c r="H302" s="2">
        <v>45401</v>
      </c>
      <c r="I302" s="3">
        <v>245</v>
      </c>
      <c r="J302">
        <v>24</v>
      </c>
      <c r="K302" t="s">
        <v>26</v>
      </c>
      <c r="L302" t="s">
        <v>21</v>
      </c>
      <c r="M302">
        <v>4</v>
      </c>
    </row>
    <row r="303" spans="1:13">
      <c r="A303" t="s">
        <v>51</v>
      </c>
      <c r="B303" t="s">
        <v>52</v>
      </c>
      <c r="C303" t="s">
        <v>35</v>
      </c>
      <c r="D303" t="s">
        <v>29</v>
      </c>
      <c r="E303" t="s">
        <v>53</v>
      </c>
      <c r="F303" t="s">
        <v>18</v>
      </c>
      <c r="G303" t="s">
        <v>41</v>
      </c>
      <c r="H303" s="2">
        <v>45399</v>
      </c>
      <c r="I303" s="3">
        <v>625</v>
      </c>
      <c r="J303">
        <v>35</v>
      </c>
      <c r="K303" t="s">
        <v>26</v>
      </c>
      <c r="L303" t="s">
        <v>32</v>
      </c>
      <c r="M303">
        <v>2</v>
      </c>
    </row>
    <row r="304" spans="1:13">
      <c r="A304" t="s">
        <v>117</v>
      </c>
      <c r="B304" t="s">
        <v>118</v>
      </c>
      <c r="C304" t="s">
        <v>24</v>
      </c>
      <c r="D304" t="s">
        <v>29</v>
      </c>
      <c r="E304" t="s">
        <v>56</v>
      </c>
      <c r="F304" t="s">
        <v>18</v>
      </c>
      <c r="G304" t="s">
        <v>41</v>
      </c>
      <c r="H304" s="2">
        <v>45397</v>
      </c>
      <c r="I304" s="3">
        <v>635</v>
      </c>
      <c r="J304">
        <v>35</v>
      </c>
      <c r="K304" t="s">
        <v>26</v>
      </c>
      <c r="L304" t="s">
        <v>50</v>
      </c>
      <c r="M304">
        <v>5</v>
      </c>
    </row>
    <row r="305" spans="1:13">
      <c r="A305" t="s">
        <v>343</v>
      </c>
      <c r="B305" t="s">
        <v>68</v>
      </c>
      <c r="C305" t="s">
        <v>35</v>
      </c>
      <c r="D305" t="s">
        <v>25</v>
      </c>
      <c r="E305" t="s">
        <v>17</v>
      </c>
      <c r="F305" t="s">
        <v>40</v>
      </c>
      <c r="G305" t="s">
        <v>41</v>
      </c>
      <c r="H305" s="2">
        <v>45384</v>
      </c>
      <c r="I305" s="3">
        <v>585</v>
      </c>
      <c r="J305">
        <v>20</v>
      </c>
      <c r="K305" t="s">
        <v>26</v>
      </c>
      <c r="L305" t="s">
        <v>32</v>
      </c>
      <c r="M305">
        <v>2</v>
      </c>
    </row>
    <row r="306" spans="1:13">
      <c r="A306" t="s">
        <v>402</v>
      </c>
      <c r="B306" t="s">
        <v>92</v>
      </c>
      <c r="C306" t="s">
        <v>35</v>
      </c>
      <c r="D306" t="s">
        <v>29</v>
      </c>
      <c r="E306" t="s">
        <v>39</v>
      </c>
      <c r="F306" t="s">
        <v>36</v>
      </c>
      <c r="G306" t="s">
        <v>19</v>
      </c>
      <c r="H306" s="2">
        <v>45384</v>
      </c>
      <c r="I306" s="3">
        <v>770</v>
      </c>
      <c r="J306">
        <v>75</v>
      </c>
      <c r="K306" t="s">
        <v>20</v>
      </c>
      <c r="L306" t="s">
        <v>32</v>
      </c>
      <c r="M306">
        <v>4</v>
      </c>
    </row>
    <row r="307" spans="1:13">
      <c r="A307" t="s">
        <v>320</v>
      </c>
      <c r="B307" t="s">
        <v>252</v>
      </c>
      <c r="C307" t="s">
        <v>44</v>
      </c>
      <c r="D307" t="s">
        <v>16</v>
      </c>
      <c r="E307" t="s">
        <v>39</v>
      </c>
      <c r="F307" t="s">
        <v>46</v>
      </c>
      <c r="G307" t="s">
        <v>41</v>
      </c>
      <c r="H307" s="2">
        <v>45382</v>
      </c>
      <c r="I307" s="3">
        <v>360</v>
      </c>
      <c r="J307">
        <v>13</v>
      </c>
      <c r="K307" t="s">
        <v>26</v>
      </c>
      <c r="L307" t="s">
        <v>32</v>
      </c>
      <c r="M307">
        <v>4</v>
      </c>
    </row>
    <row r="308" spans="1:13">
      <c r="A308" t="s">
        <v>337</v>
      </c>
      <c r="B308" t="s">
        <v>122</v>
      </c>
      <c r="C308" t="s">
        <v>15</v>
      </c>
      <c r="D308" t="s">
        <v>25</v>
      </c>
      <c r="E308" t="s">
        <v>39</v>
      </c>
      <c r="F308" t="s">
        <v>46</v>
      </c>
      <c r="G308" t="s">
        <v>19</v>
      </c>
      <c r="H308" s="2">
        <v>45379</v>
      </c>
      <c r="I308" s="3">
        <v>360</v>
      </c>
      <c r="J308">
        <v>15</v>
      </c>
      <c r="K308" t="s">
        <v>20</v>
      </c>
      <c r="L308" t="s">
        <v>32</v>
      </c>
      <c r="M308">
        <v>4</v>
      </c>
    </row>
    <row r="309" spans="1:13">
      <c r="A309" t="s">
        <v>537</v>
      </c>
      <c r="B309" t="s">
        <v>182</v>
      </c>
      <c r="C309" t="s">
        <v>44</v>
      </c>
      <c r="D309" t="s">
        <v>16</v>
      </c>
      <c r="E309" t="s">
        <v>30</v>
      </c>
      <c r="F309" t="s">
        <v>46</v>
      </c>
      <c r="G309" t="s">
        <v>41</v>
      </c>
      <c r="H309" s="2">
        <v>45379</v>
      </c>
      <c r="I309" s="3">
        <v>440</v>
      </c>
      <c r="J309">
        <v>25</v>
      </c>
      <c r="K309" t="s">
        <v>20</v>
      </c>
      <c r="L309" t="s">
        <v>32</v>
      </c>
      <c r="M309">
        <v>4</v>
      </c>
    </row>
    <row r="310" spans="1:13">
      <c r="A310" t="s">
        <v>550</v>
      </c>
      <c r="B310" t="s">
        <v>23</v>
      </c>
      <c r="C310" t="s">
        <v>15</v>
      </c>
      <c r="D310" t="s">
        <v>45</v>
      </c>
      <c r="E310" t="s">
        <v>56</v>
      </c>
      <c r="F310" t="s">
        <v>60</v>
      </c>
      <c r="G310" t="s">
        <v>19</v>
      </c>
      <c r="H310" s="2">
        <v>45377</v>
      </c>
      <c r="I310" s="3">
        <v>285</v>
      </c>
      <c r="J310">
        <v>8</v>
      </c>
      <c r="K310" t="s">
        <v>20</v>
      </c>
      <c r="L310" t="s">
        <v>32</v>
      </c>
      <c r="M310">
        <v>3</v>
      </c>
    </row>
    <row r="311" spans="1:13">
      <c r="A311" t="s">
        <v>178</v>
      </c>
      <c r="B311" t="s">
        <v>179</v>
      </c>
      <c r="C311" t="s">
        <v>35</v>
      </c>
      <c r="D311" t="s">
        <v>45</v>
      </c>
      <c r="E311" t="s">
        <v>88</v>
      </c>
      <c r="F311" t="s">
        <v>46</v>
      </c>
      <c r="G311" t="s">
        <v>31</v>
      </c>
      <c r="H311" s="2">
        <v>45373</v>
      </c>
      <c r="I311" s="3">
        <v>95</v>
      </c>
      <c r="J311">
        <v>3</v>
      </c>
      <c r="K311" t="s">
        <v>26</v>
      </c>
      <c r="L311" t="s">
        <v>32</v>
      </c>
      <c r="M311">
        <v>3</v>
      </c>
    </row>
    <row r="312" spans="1:13">
      <c r="A312" t="s">
        <v>380</v>
      </c>
      <c r="B312" t="s">
        <v>381</v>
      </c>
      <c r="C312" t="s">
        <v>44</v>
      </c>
      <c r="D312" t="s">
        <v>49</v>
      </c>
      <c r="E312" t="s">
        <v>88</v>
      </c>
      <c r="F312" t="s">
        <v>46</v>
      </c>
      <c r="G312" t="s">
        <v>19</v>
      </c>
      <c r="H312" s="2">
        <v>45366</v>
      </c>
      <c r="I312" s="3">
        <v>160</v>
      </c>
      <c r="J312">
        <v>7</v>
      </c>
      <c r="K312" t="s">
        <v>26</v>
      </c>
      <c r="L312" t="s">
        <v>50</v>
      </c>
      <c r="M312">
        <v>4</v>
      </c>
    </row>
    <row r="313" spans="1:13">
      <c r="A313" t="s">
        <v>207</v>
      </c>
      <c r="B313" t="s">
        <v>208</v>
      </c>
      <c r="C313" t="s">
        <v>44</v>
      </c>
      <c r="D313" t="s">
        <v>59</v>
      </c>
      <c r="E313" t="s">
        <v>53</v>
      </c>
      <c r="F313" t="s">
        <v>40</v>
      </c>
      <c r="G313" t="s">
        <v>41</v>
      </c>
      <c r="H313" s="2">
        <v>45362</v>
      </c>
      <c r="I313" s="3">
        <v>325</v>
      </c>
      <c r="J313">
        <v>4</v>
      </c>
      <c r="K313" t="s">
        <v>26</v>
      </c>
      <c r="L313" t="s">
        <v>32</v>
      </c>
      <c r="M313">
        <v>4</v>
      </c>
    </row>
    <row r="314" spans="1:13">
      <c r="A314" t="s">
        <v>76</v>
      </c>
      <c r="B314" t="s">
        <v>77</v>
      </c>
      <c r="C314" t="s">
        <v>24</v>
      </c>
      <c r="D314" t="s">
        <v>59</v>
      </c>
      <c r="E314" t="s">
        <v>17</v>
      </c>
      <c r="F314" t="s">
        <v>40</v>
      </c>
      <c r="G314" t="s">
        <v>41</v>
      </c>
      <c r="H314" s="2">
        <v>45362</v>
      </c>
      <c r="I314" s="3">
        <v>435</v>
      </c>
      <c r="J314">
        <v>10</v>
      </c>
      <c r="K314" t="s">
        <v>20</v>
      </c>
      <c r="L314" t="s">
        <v>32</v>
      </c>
      <c r="M314">
        <v>4</v>
      </c>
    </row>
    <row r="315" spans="1:13">
      <c r="A315" t="s">
        <v>389</v>
      </c>
      <c r="B315" t="s">
        <v>390</v>
      </c>
      <c r="C315" t="s">
        <v>44</v>
      </c>
      <c r="D315" t="s">
        <v>29</v>
      </c>
      <c r="E315" t="s">
        <v>56</v>
      </c>
      <c r="F315" t="s">
        <v>18</v>
      </c>
      <c r="G315" t="s">
        <v>31</v>
      </c>
      <c r="H315" s="2">
        <v>45360</v>
      </c>
      <c r="I315" s="3">
        <v>575</v>
      </c>
      <c r="J315">
        <v>37</v>
      </c>
      <c r="K315" t="s">
        <v>26</v>
      </c>
      <c r="L315" t="s">
        <v>21</v>
      </c>
      <c r="M315">
        <v>2</v>
      </c>
    </row>
    <row r="316" spans="1:13">
      <c r="A316" t="s">
        <v>254</v>
      </c>
      <c r="B316" t="s">
        <v>198</v>
      </c>
      <c r="C316" t="s">
        <v>35</v>
      </c>
      <c r="D316" t="s">
        <v>45</v>
      </c>
      <c r="E316" t="s">
        <v>39</v>
      </c>
      <c r="F316" t="s">
        <v>60</v>
      </c>
      <c r="G316" t="s">
        <v>31</v>
      </c>
      <c r="H316" s="2">
        <v>45359</v>
      </c>
      <c r="I316" s="3">
        <v>160</v>
      </c>
      <c r="J316">
        <v>4</v>
      </c>
      <c r="K316" t="s">
        <v>26</v>
      </c>
      <c r="L316" t="s">
        <v>32</v>
      </c>
      <c r="M316">
        <v>5</v>
      </c>
    </row>
    <row r="317" spans="1:13">
      <c r="A317" t="s">
        <v>417</v>
      </c>
      <c r="B317" t="s">
        <v>122</v>
      </c>
      <c r="C317" t="s">
        <v>24</v>
      </c>
      <c r="D317" t="s">
        <v>25</v>
      </c>
      <c r="E317" t="s">
        <v>53</v>
      </c>
      <c r="F317" t="s">
        <v>18</v>
      </c>
      <c r="G317" t="s">
        <v>19</v>
      </c>
      <c r="H317" s="2">
        <v>45358</v>
      </c>
      <c r="I317" s="3">
        <v>750</v>
      </c>
      <c r="J317">
        <v>38</v>
      </c>
      <c r="K317" t="s">
        <v>26</v>
      </c>
      <c r="L317" t="s">
        <v>32</v>
      </c>
      <c r="M317">
        <v>4</v>
      </c>
    </row>
    <row r="318" spans="1:13">
      <c r="A318" t="s">
        <v>466</v>
      </c>
      <c r="B318" t="s">
        <v>467</v>
      </c>
      <c r="C318" t="s">
        <v>35</v>
      </c>
      <c r="D318" t="s">
        <v>25</v>
      </c>
      <c r="E318" t="s">
        <v>53</v>
      </c>
      <c r="F318" t="s">
        <v>60</v>
      </c>
      <c r="G318" t="s">
        <v>19</v>
      </c>
      <c r="H318" s="2">
        <v>45357</v>
      </c>
      <c r="I318" s="3">
        <v>185</v>
      </c>
      <c r="J318">
        <v>6</v>
      </c>
      <c r="K318" t="s">
        <v>26</v>
      </c>
      <c r="L318" t="s">
        <v>50</v>
      </c>
      <c r="M318">
        <v>4</v>
      </c>
    </row>
    <row r="319" spans="1:13">
      <c r="A319" t="s">
        <v>489</v>
      </c>
      <c r="B319" t="s">
        <v>116</v>
      </c>
      <c r="C319" t="s">
        <v>44</v>
      </c>
      <c r="D319" t="s">
        <v>29</v>
      </c>
      <c r="E319" t="s">
        <v>17</v>
      </c>
      <c r="F319" t="s">
        <v>18</v>
      </c>
      <c r="G319" t="s">
        <v>41</v>
      </c>
      <c r="H319" s="2">
        <v>45350</v>
      </c>
      <c r="I319" s="3">
        <v>830</v>
      </c>
      <c r="J319">
        <v>62</v>
      </c>
      <c r="K319" t="s">
        <v>26</v>
      </c>
      <c r="L319" t="s">
        <v>32</v>
      </c>
      <c r="M319">
        <v>5</v>
      </c>
    </row>
    <row r="320" spans="1:13">
      <c r="A320" t="s">
        <v>428</v>
      </c>
      <c r="B320" t="s">
        <v>220</v>
      </c>
      <c r="C320" t="s">
        <v>15</v>
      </c>
      <c r="D320" t="s">
        <v>45</v>
      </c>
      <c r="E320" t="s">
        <v>56</v>
      </c>
      <c r="F320" t="s">
        <v>18</v>
      </c>
      <c r="G320" t="s">
        <v>31</v>
      </c>
      <c r="H320" s="2">
        <v>45346</v>
      </c>
      <c r="I320" s="3">
        <v>575</v>
      </c>
      <c r="J320">
        <v>29</v>
      </c>
      <c r="K320" t="s">
        <v>26</v>
      </c>
      <c r="L320" t="s">
        <v>50</v>
      </c>
      <c r="M320">
        <v>4</v>
      </c>
    </row>
    <row r="321" spans="1:13">
      <c r="A321" t="s">
        <v>126</v>
      </c>
      <c r="B321" t="s">
        <v>127</v>
      </c>
      <c r="C321" t="s">
        <v>35</v>
      </c>
      <c r="D321" t="s">
        <v>45</v>
      </c>
      <c r="E321" t="s">
        <v>53</v>
      </c>
      <c r="F321" t="s">
        <v>36</v>
      </c>
      <c r="G321" t="s">
        <v>31</v>
      </c>
      <c r="H321" s="2">
        <v>45345</v>
      </c>
      <c r="I321" s="3">
        <v>705</v>
      </c>
      <c r="J321">
        <v>73</v>
      </c>
      <c r="K321" t="s">
        <v>20</v>
      </c>
      <c r="L321" t="s">
        <v>21</v>
      </c>
      <c r="M321">
        <v>4</v>
      </c>
    </row>
    <row r="322" spans="1:13">
      <c r="A322" t="s">
        <v>258</v>
      </c>
      <c r="B322" t="s">
        <v>112</v>
      </c>
      <c r="C322" t="s">
        <v>24</v>
      </c>
      <c r="D322" t="s">
        <v>16</v>
      </c>
      <c r="E322" t="s">
        <v>39</v>
      </c>
      <c r="F322" t="s">
        <v>60</v>
      </c>
      <c r="G322" t="s">
        <v>31</v>
      </c>
      <c r="H322" s="2">
        <v>45344</v>
      </c>
      <c r="I322" s="3">
        <v>160</v>
      </c>
      <c r="J322">
        <v>14</v>
      </c>
      <c r="K322" t="s">
        <v>26</v>
      </c>
      <c r="L322" t="s">
        <v>32</v>
      </c>
      <c r="M322">
        <v>4</v>
      </c>
    </row>
    <row r="323" spans="1:13">
      <c r="A323" t="s">
        <v>384</v>
      </c>
      <c r="B323" t="s">
        <v>55</v>
      </c>
      <c r="C323" t="s">
        <v>24</v>
      </c>
      <c r="D323" t="s">
        <v>29</v>
      </c>
      <c r="E323" t="s">
        <v>88</v>
      </c>
      <c r="F323" t="s">
        <v>36</v>
      </c>
      <c r="G323" t="s">
        <v>19</v>
      </c>
      <c r="H323" s="2">
        <v>45344</v>
      </c>
      <c r="I323" s="3">
        <v>605</v>
      </c>
      <c r="J323">
        <v>67</v>
      </c>
      <c r="K323" t="s">
        <v>26</v>
      </c>
      <c r="L323" t="s">
        <v>21</v>
      </c>
      <c r="M323">
        <v>5</v>
      </c>
    </row>
    <row r="324" spans="1:13">
      <c r="A324" t="s">
        <v>321</v>
      </c>
      <c r="B324" t="s">
        <v>142</v>
      </c>
      <c r="C324" t="s">
        <v>15</v>
      </c>
      <c r="D324" t="s">
        <v>25</v>
      </c>
      <c r="E324" t="s">
        <v>56</v>
      </c>
      <c r="F324" t="s">
        <v>60</v>
      </c>
      <c r="G324" t="s">
        <v>31</v>
      </c>
      <c r="H324" s="2">
        <v>45339</v>
      </c>
      <c r="I324" s="3">
        <v>220</v>
      </c>
      <c r="J324">
        <v>15</v>
      </c>
      <c r="K324" t="s">
        <v>20</v>
      </c>
      <c r="L324" t="s">
        <v>32</v>
      </c>
      <c r="M324">
        <v>3</v>
      </c>
    </row>
    <row r="325" spans="1:13">
      <c r="A325" t="s">
        <v>406</v>
      </c>
      <c r="B325" t="s">
        <v>291</v>
      </c>
      <c r="C325" t="s">
        <v>35</v>
      </c>
      <c r="D325" t="s">
        <v>29</v>
      </c>
      <c r="E325" t="s">
        <v>56</v>
      </c>
      <c r="F325" t="s">
        <v>18</v>
      </c>
      <c r="G325" t="s">
        <v>31</v>
      </c>
      <c r="H325" s="2">
        <v>45339</v>
      </c>
      <c r="I325" s="3">
        <v>415</v>
      </c>
      <c r="J325">
        <v>23</v>
      </c>
      <c r="K325" t="s">
        <v>26</v>
      </c>
      <c r="L325" t="s">
        <v>21</v>
      </c>
      <c r="M325">
        <v>3</v>
      </c>
    </row>
    <row r="326" spans="1:13">
      <c r="A326" t="s">
        <v>130</v>
      </c>
      <c r="B326" t="s">
        <v>131</v>
      </c>
      <c r="C326" t="s">
        <v>35</v>
      </c>
      <c r="D326" t="s">
        <v>49</v>
      </c>
      <c r="E326" t="s">
        <v>53</v>
      </c>
      <c r="F326" t="s">
        <v>60</v>
      </c>
      <c r="G326" t="s">
        <v>19</v>
      </c>
      <c r="H326" s="2">
        <v>45333</v>
      </c>
      <c r="I326" s="3">
        <v>460</v>
      </c>
      <c r="J326">
        <v>17</v>
      </c>
      <c r="K326" t="s">
        <v>26</v>
      </c>
      <c r="L326" t="s">
        <v>32</v>
      </c>
      <c r="M326">
        <v>4</v>
      </c>
    </row>
    <row r="327" spans="1:13">
      <c r="A327" t="s">
        <v>290</v>
      </c>
      <c r="B327" t="s">
        <v>291</v>
      </c>
      <c r="C327" t="s">
        <v>24</v>
      </c>
      <c r="D327" t="s">
        <v>49</v>
      </c>
      <c r="E327" t="s">
        <v>88</v>
      </c>
      <c r="F327" t="s">
        <v>60</v>
      </c>
      <c r="G327" t="s">
        <v>41</v>
      </c>
      <c r="H327" s="2">
        <v>45330</v>
      </c>
      <c r="I327" s="3">
        <v>365</v>
      </c>
      <c r="J327">
        <v>11</v>
      </c>
      <c r="K327" t="s">
        <v>26</v>
      </c>
      <c r="L327" t="s">
        <v>32</v>
      </c>
      <c r="M327">
        <v>2</v>
      </c>
    </row>
    <row r="328" spans="1:13">
      <c r="A328" t="s">
        <v>386</v>
      </c>
      <c r="B328" t="s">
        <v>94</v>
      </c>
      <c r="C328" t="s">
        <v>35</v>
      </c>
      <c r="D328" t="s">
        <v>16</v>
      </c>
      <c r="E328" t="s">
        <v>88</v>
      </c>
      <c r="F328" t="s">
        <v>40</v>
      </c>
      <c r="G328" t="s">
        <v>41</v>
      </c>
      <c r="H328" s="2">
        <v>45328</v>
      </c>
      <c r="I328" s="3">
        <v>405</v>
      </c>
      <c r="J328">
        <v>18</v>
      </c>
      <c r="K328" t="s">
        <v>20</v>
      </c>
      <c r="L328" t="s">
        <v>32</v>
      </c>
      <c r="M328">
        <v>5</v>
      </c>
    </row>
    <row r="329" spans="1:13">
      <c r="A329" t="s">
        <v>292</v>
      </c>
      <c r="B329" t="s">
        <v>172</v>
      </c>
      <c r="C329" t="s">
        <v>35</v>
      </c>
      <c r="D329" t="s">
        <v>25</v>
      </c>
      <c r="E329" t="s">
        <v>17</v>
      </c>
      <c r="F329" t="s">
        <v>46</v>
      </c>
      <c r="G329" t="s">
        <v>31</v>
      </c>
      <c r="H329" s="2">
        <v>45327</v>
      </c>
      <c r="I329" s="3">
        <v>320</v>
      </c>
      <c r="J329">
        <v>19</v>
      </c>
      <c r="K329" t="s">
        <v>26</v>
      </c>
      <c r="L329" t="s">
        <v>50</v>
      </c>
      <c r="M329">
        <v>3</v>
      </c>
    </row>
    <row r="330" spans="1:13">
      <c r="A330" t="s">
        <v>426</v>
      </c>
      <c r="B330" t="s">
        <v>191</v>
      </c>
      <c r="C330" t="s">
        <v>24</v>
      </c>
      <c r="D330" t="s">
        <v>59</v>
      </c>
      <c r="E330" t="s">
        <v>17</v>
      </c>
      <c r="F330" t="s">
        <v>36</v>
      </c>
      <c r="G330" t="s">
        <v>19</v>
      </c>
      <c r="H330" s="2">
        <v>45325</v>
      </c>
      <c r="I330" s="3">
        <v>750</v>
      </c>
      <c r="J330">
        <v>29</v>
      </c>
      <c r="K330" t="s">
        <v>26</v>
      </c>
      <c r="L330" t="s">
        <v>32</v>
      </c>
      <c r="M330">
        <v>2</v>
      </c>
    </row>
    <row r="331" spans="1:13">
      <c r="A331" t="s">
        <v>95</v>
      </c>
      <c r="B331" t="s">
        <v>96</v>
      </c>
      <c r="C331" t="s">
        <v>24</v>
      </c>
      <c r="D331" t="s">
        <v>16</v>
      </c>
      <c r="E331" t="s">
        <v>39</v>
      </c>
      <c r="F331" t="s">
        <v>36</v>
      </c>
      <c r="G331" t="s">
        <v>19</v>
      </c>
      <c r="H331" s="2">
        <v>45325</v>
      </c>
      <c r="I331" s="3">
        <v>1410</v>
      </c>
      <c r="J331">
        <v>67</v>
      </c>
      <c r="K331" t="s">
        <v>26</v>
      </c>
      <c r="L331" t="s">
        <v>32</v>
      </c>
      <c r="M331">
        <v>5</v>
      </c>
    </row>
    <row r="332" spans="1:13">
      <c r="A332" t="s">
        <v>80</v>
      </c>
      <c r="B332" t="s">
        <v>81</v>
      </c>
      <c r="C332" t="s">
        <v>15</v>
      </c>
      <c r="D332" t="s">
        <v>59</v>
      </c>
      <c r="E332" t="s">
        <v>39</v>
      </c>
      <c r="F332" t="s">
        <v>40</v>
      </c>
      <c r="G332" t="s">
        <v>19</v>
      </c>
      <c r="H332" s="2">
        <v>45324</v>
      </c>
      <c r="I332" s="3">
        <v>225</v>
      </c>
      <c r="J332">
        <v>4</v>
      </c>
      <c r="K332" t="s">
        <v>26</v>
      </c>
      <c r="L332" t="s">
        <v>32</v>
      </c>
      <c r="M332">
        <v>4</v>
      </c>
    </row>
    <row r="333" spans="1:13">
      <c r="A333" t="s">
        <v>425</v>
      </c>
      <c r="B333" t="s">
        <v>204</v>
      </c>
      <c r="C333" t="s">
        <v>24</v>
      </c>
      <c r="D333" t="s">
        <v>59</v>
      </c>
      <c r="E333" t="s">
        <v>39</v>
      </c>
      <c r="F333" t="s">
        <v>60</v>
      </c>
      <c r="G333" t="s">
        <v>41</v>
      </c>
      <c r="H333" s="2">
        <v>45324</v>
      </c>
      <c r="I333" s="3">
        <v>565</v>
      </c>
      <c r="J333">
        <v>18</v>
      </c>
      <c r="K333" t="s">
        <v>20</v>
      </c>
      <c r="L333" t="s">
        <v>32</v>
      </c>
      <c r="M333">
        <v>5</v>
      </c>
    </row>
    <row r="334" spans="1:13">
      <c r="A334" t="s">
        <v>135</v>
      </c>
      <c r="B334" t="s">
        <v>81</v>
      </c>
      <c r="C334" t="s">
        <v>24</v>
      </c>
      <c r="D334" t="s">
        <v>59</v>
      </c>
      <c r="E334" t="s">
        <v>56</v>
      </c>
      <c r="F334" t="s">
        <v>46</v>
      </c>
      <c r="G334" t="s">
        <v>41</v>
      </c>
      <c r="H334" s="2">
        <v>45322</v>
      </c>
      <c r="I334" s="3">
        <v>430</v>
      </c>
      <c r="J334">
        <v>18</v>
      </c>
      <c r="K334" t="s">
        <v>26</v>
      </c>
      <c r="L334" t="s">
        <v>32</v>
      </c>
      <c r="M334">
        <v>5</v>
      </c>
    </row>
    <row r="335" spans="1:13">
      <c r="A335" t="s">
        <v>486</v>
      </c>
      <c r="B335" t="s">
        <v>77</v>
      </c>
      <c r="C335" t="s">
        <v>15</v>
      </c>
      <c r="D335" t="s">
        <v>49</v>
      </c>
      <c r="E335" t="s">
        <v>53</v>
      </c>
      <c r="F335" t="s">
        <v>46</v>
      </c>
      <c r="G335" t="s">
        <v>41</v>
      </c>
      <c r="H335" s="2">
        <v>45320</v>
      </c>
      <c r="I335" s="3">
        <v>330</v>
      </c>
      <c r="J335">
        <v>14</v>
      </c>
      <c r="K335" t="s">
        <v>20</v>
      </c>
      <c r="L335" t="s">
        <v>50</v>
      </c>
      <c r="M335">
        <v>3</v>
      </c>
    </row>
    <row r="336" spans="1:13">
      <c r="A336" t="s">
        <v>433</v>
      </c>
      <c r="B336" t="s">
        <v>434</v>
      </c>
      <c r="C336" t="s">
        <v>24</v>
      </c>
      <c r="D336" t="s">
        <v>16</v>
      </c>
      <c r="E336" t="s">
        <v>39</v>
      </c>
      <c r="F336" t="s">
        <v>40</v>
      </c>
      <c r="G336" t="s">
        <v>41</v>
      </c>
      <c r="H336" s="2">
        <v>45320</v>
      </c>
      <c r="I336" s="3">
        <v>385</v>
      </c>
      <c r="J336">
        <v>12</v>
      </c>
      <c r="K336" t="s">
        <v>26</v>
      </c>
      <c r="L336" t="s">
        <v>32</v>
      </c>
      <c r="M336">
        <v>5</v>
      </c>
    </row>
    <row r="337" spans="1:13">
      <c r="A337" t="s">
        <v>451</v>
      </c>
      <c r="B337" t="s">
        <v>77</v>
      </c>
      <c r="C337" t="s">
        <v>44</v>
      </c>
      <c r="D337" t="s">
        <v>45</v>
      </c>
      <c r="E337" t="s">
        <v>53</v>
      </c>
      <c r="F337" t="s">
        <v>18</v>
      </c>
      <c r="G337" t="s">
        <v>41</v>
      </c>
      <c r="H337" s="2">
        <v>45320</v>
      </c>
      <c r="I337" s="3">
        <v>400</v>
      </c>
      <c r="J337">
        <v>22</v>
      </c>
      <c r="K337" t="s">
        <v>26</v>
      </c>
      <c r="L337" t="s">
        <v>32</v>
      </c>
      <c r="M337">
        <v>2</v>
      </c>
    </row>
    <row r="338" spans="1:13">
      <c r="A338" t="s">
        <v>22</v>
      </c>
      <c r="B338" t="s">
        <v>23</v>
      </c>
      <c r="C338" t="s">
        <v>24</v>
      </c>
      <c r="D338" t="s">
        <v>25</v>
      </c>
      <c r="E338" t="s">
        <v>17</v>
      </c>
      <c r="F338" t="s">
        <v>18</v>
      </c>
      <c r="G338" t="s">
        <v>19</v>
      </c>
      <c r="H338" s="2">
        <v>45314</v>
      </c>
      <c r="I338" s="3">
        <v>475</v>
      </c>
      <c r="J338">
        <v>34</v>
      </c>
      <c r="K338" t="s">
        <v>26</v>
      </c>
      <c r="L338" t="s">
        <v>21</v>
      </c>
      <c r="M338">
        <v>4</v>
      </c>
    </row>
    <row r="339" spans="1:13">
      <c r="A339" t="s">
        <v>546</v>
      </c>
      <c r="B339" t="s">
        <v>482</v>
      </c>
      <c r="C339" t="s">
        <v>35</v>
      </c>
      <c r="D339" t="s">
        <v>29</v>
      </c>
      <c r="E339" t="s">
        <v>39</v>
      </c>
      <c r="F339" t="s">
        <v>18</v>
      </c>
      <c r="G339" t="s">
        <v>19</v>
      </c>
      <c r="H339" s="2">
        <v>45313</v>
      </c>
      <c r="I339" s="3">
        <v>495</v>
      </c>
      <c r="J339">
        <v>27</v>
      </c>
      <c r="K339" t="s">
        <v>26</v>
      </c>
      <c r="L339" t="s">
        <v>32</v>
      </c>
      <c r="M339">
        <v>5</v>
      </c>
    </row>
    <row r="340" spans="1:13">
      <c r="A340" t="s">
        <v>180</v>
      </c>
      <c r="B340" t="s">
        <v>58</v>
      </c>
      <c r="C340" t="s">
        <v>44</v>
      </c>
      <c r="D340" t="s">
        <v>59</v>
      </c>
      <c r="E340" t="s">
        <v>53</v>
      </c>
      <c r="F340" t="s">
        <v>18</v>
      </c>
      <c r="G340" t="s">
        <v>41</v>
      </c>
      <c r="H340" s="2">
        <v>45311</v>
      </c>
      <c r="I340" s="3">
        <v>745</v>
      </c>
      <c r="J340">
        <v>80</v>
      </c>
      <c r="K340" t="s">
        <v>26</v>
      </c>
      <c r="L340" t="s">
        <v>32</v>
      </c>
      <c r="M340">
        <v>4</v>
      </c>
    </row>
    <row r="341" spans="1:13">
      <c r="A341" t="s">
        <v>299</v>
      </c>
      <c r="B341" t="s">
        <v>300</v>
      </c>
      <c r="C341" t="s">
        <v>44</v>
      </c>
      <c r="D341" t="s">
        <v>25</v>
      </c>
      <c r="E341" t="s">
        <v>56</v>
      </c>
      <c r="F341" t="s">
        <v>40</v>
      </c>
      <c r="G341" t="s">
        <v>41</v>
      </c>
      <c r="H341" s="2">
        <v>45310</v>
      </c>
      <c r="I341" s="3">
        <v>300</v>
      </c>
      <c r="J341">
        <v>1</v>
      </c>
      <c r="K341" t="s">
        <v>26</v>
      </c>
      <c r="L341" t="s">
        <v>32</v>
      </c>
      <c r="M341">
        <v>4</v>
      </c>
    </row>
    <row r="342" spans="1:13">
      <c r="A342" t="s">
        <v>506</v>
      </c>
      <c r="B342" t="s">
        <v>274</v>
      </c>
      <c r="C342" t="s">
        <v>15</v>
      </c>
      <c r="D342" t="s">
        <v>59</v>
      </c>
      <c r="E342" t="s">
        <v>39</v>
      </c>
      <c r="F342" t="s">
        <v>36</v>
      </c>
      <c r="G342" t="s">
        <v>19</v>
      </c>
      <c r="H342" s="2">
        <v>45310</v>
      </c>
      <c r="I342" s="3">
        <v>1340</v>
      </c>
      <c r="J342">
        <v>63</v>
      </c>
      <c r="K342" t="s">
        <v>26</v>
      </c>
      <c r="L342" t="s">
        <v>32</v>
      </c>
      <c r="M342">
        <v>3</v>
      </c>
    </row>
    <row r="343" spans="1:13">
      <c r="A343" t="s">
        <v>543</v>
      </c>
      <c r="B343" t="s">
        <v>187</v>
      </c>
      <c r="C343" t="s">
        <v>44</v>
      </c>
      <c r="D343" t="s">
        <v>29</v>
      </c>
      <c r="E343" t="s">
        <v>39</v>
      </c>
      <c r="F343" t="s">
        <v>60</v>
      </c>
      <c r="G343" t="s">
        <v>41</v>
      </c>
      <c r="H343" s="2">
        <v>45306</v>
      </c>
      <c r="I343" s="3">
        <v>370</v>
      </c>
      <c r="J343">
        <v>7</v>
      </c>
      <c r="K343" t="s">
        <v>26</v>
      </c>
      <c r="L343" t="s">
        <v>32</v>
      </c>
      <c r="M343">
        <v>4</v>
      </c>
    </row>
    <row r="344" spans="1:13">
      <c r="A344" t="s">
        <v>495</v>
      </c>
      <c r="B344" t="s">
        <v>374</v>
      </c>
      <c r="C344" t="s">
        <v>44</v>
      </c>
      <c r="D344" t="s">
        <v>49</v>
      </c>
      <c r="E344" t="s">
        <v>30</v>
      </c>
      <c r="F344" t="s">
        <v>18</v>
      </c>
      <c r="G344" t="s">
        <v>19</v>
      </c>
      <c r="H344" s="2">
        <v>45305</v>
      </c>
      <c r="I344" s="3">
        <v>555</v>
      </c>
      <c r="J344">
        <v>35</v>
      </c>
      <c r="K344" t="s">
        <v>26</v>
      </c>
      <c r="L344" t="s">
        <v>32</v>
      </c>
      <c r="M344">
        <v>3</v>
      </c>
    </row>
    <row r="345" spans="1:13">
      <c r="A345" t="s">
        <v>415</v>
      </c>
      <c r="B345" t="s">
        <v>120</v>
      </c>
      <c r="C345" t="s">
        <v>15</v>
      </c>
      <c r="D345" t="s">
        <v>16</v>
      </c>
      <c r="E345" t="s">
        <v>56</v>
      </c>
      <c r="F345" t="s">
        <v>18</v>
      </c>
      <c r="G345" t="s">
        <v>19</v>
      </c>
      <c r="H345" s="2">
        <v>45303</v>
      </c>
      <c r="I345" s="3">
        <v>1285</v>
      </c>
      <c r="J345">
        <v>77</v>
      </c>
      <c r="K345" t="s">
        <v>26</v>
      </c>
      <c r="L345" t="s">
        <v>21</v>
      </c>
      <c r="M345">
        <v>4</v>
      </c>
    </row>
    <row r="346" spans="1:13">
      <c r="A346" t="s">
        <v>522</v>
      </c>
      <c r="B346" t="s">
        <v>28</v>
      </c>
      <c r="C346" t="s">
        <v>44</v>
      </c>
      <c r="D346" t="s">
        <v>29</v>
      </c>
      <c r="E346" t="s">
        <v>30</v>
      </c>
      <c r="F346" t="s">
        <v>40</v>
      </c>
      <c r="G346" t="s">
        <v>31</v>
      </c>
      <c r="H346" s="2">
        <v>45302</v>
      </c>
      <c r="I346" s="3">
        <v>530</v>
      </c>
      <c r="J346">
        <v>25</v>
      </c>
      <c r="K346" t="s">
        <v>26</v>
      </c>
      <c r="L346" t="s">
        <v>32</v>
      </c>
      <c r="M346">
        <v>3</v>
      </c>
    </row>
    <row r="347" spans="1:13">
      <c r="A347" t="s">
        <v>500</v>
      </c>
      <c r="B347" t="s">
        <v>146</v>
      </c>
      <c r="C347" t="s">
        <v>24</v>
      </c>
      <c r="D347" t="s">
        <v>49</v>
      </c>
      <c r="E347" t="s">
        <v>56</v>
      </c>
      <c r="F347" t="s">
        <v>40</v>
      </c>
      <c r="G347" t="s">
        <v>31</v>
      </c>
      <c r="H347" s="2">
        <v>45301</v>
      </c>
      <c r="I347" s="3">
        <v>310</v>
      </c>
      <c r="J347">
        <v>22</v>
      </c>
      <c r="K347" t="s">
        <v>26</v>
      </c>
      <c r="L347" t="s">
        <v>21</v>
      </c>
      <c r="M347">
        <v>5</v>
      </c>
    </row>
    <row r="348" spans="1:13">
      <c r="A348" t="s">
        <v>185</v>
      </c>
      <c r="B348" t="s">
        <v>55</v>
      </c>
      <c r="C348" t="s">
        <v>35</v>
      </c>
      <c r="D348" t="s">
        <v>29</v>
      </c>
      <c r="E348" t="s">
        <v>17</v>
      </c>
      <c r="F348" t="s">
        <v>60</v>
      </c>
      <c r="G348" t="s">
        <v>41</v>
      </c>
      <c r="H348" s="2">
        <v>45296</v>
      </c>
      <c r="I348" s="3">
        <v>540</v>
      </c>
      <c r="J348">
        <v>21</v>
      </c>
      <c r="K348" t="s">
        <v>20</v>
      </c>
      <c r="L348" t="s">
        <v>32</v>
      </c>
      <c r="M348">
        <v>5</v>
      </c>
    </row>
    <row r="349" spans="1:13">
      <c r="A349" t="s">
        <v>511</v>
      </c>
      <c r="B349" t="s">
        <v>308</v>
      </c>
      <c r="C349" t="s">
        <v>15</v>
      </c>
      <c r="D349" t="s">
        <v>45</v>
      </c>
      <c r="E349" t="s">
        <v>88</v>
      </c>
      <c r="F349" t="s">
        <v>18</v>
      </c>
      <c r="G349" t="s">
        <v>19</v>
      </c>
      <c r="H349" s="2">
        <v>45295</v>
      </c>
      <c r="I349" s="3">
        <v>635</v>
      </c>
      <c r="J349">
        <v>28</v>
      </c>
      <c r="K349" t="s">
        <v>26</v>
      </c>
      <c r="L349" t="s">
        <v>32</v>
      </c>
      <c r="M349">
        <v>2</v>
      </c>
    </row>
    <row r="350" spans="1:13">
      <c r="A350" t="s">
        <v>101</v>
      </c>
      <c r="B350" t="s">
        <v>102</v>
      </c>
      <c r="C350" t="s">
        <v>15</v>
      </c>
      <c r="D350" t="s">
        <v>16</v>
      </c>
      <c r="E350" t="s">
        <v>88</v>
      </c>
      <c r="F350" t="s">
        <v>46</v>
      </c>
      <c r="G350" t="s">
        <v>31</v>
      </c>
      <c r="H350" s="2">
        <v>45294</v>
      </c>
      <c r="I350" s="3">
        <v>160</v>
      </c>
      <c r="J350">
        <v>6</v>
      </c>
      <c r="K350" t="s">
        <v>26</v>
      </c>
      <c r="L350" t="s">
        <v>32</v>
      </c>
      <c r="M350">
        <v>3</v>
      </c>
    </row>
    <row r="351" spans="1:13">
      <c r="A351" t="s">
        <v>222</v>
      </c>
      <c r="B351" t="s">
        <v>223</v>
      </c>
      <c r="C351" t="s">
        <v>44</v>
      </c>
      <c r="D351" t="s">
        <v>49</v>
      </c>
      <c r="E351" t="s">
        <v>88</v>
      </c>
      <c r="F351" t="s">
        <v>18</v>
      </c>
      <c r="G351" t="s">
        <v>19</v>
      </c>
      <c r="H351" s="2">
        <v>45294</v>
      </c>
      <c r="I351" s="3">
        <v>220</v>
      </c>
      <c r="J351">
        <v>6</v>
      </c>
      <c r="K351" t="s">
        <v>20</v>
      </c>
      <c r="L351" t="s">
        <v>32</v>
      </c>
      <c r="M351">
        <v>4</v>
      </c>
    </row>
  </sheetData>
  <autoFilter ref="A1:M351" xr:uid="{00000000-0001-0000-0000-000000000000}">
    <sortState xmlns:xlrd2="http://schemas.microsoft.com/office/spreadsheetml/2017/richdata2" ref="A2:M351">
      <sortCondition descending="1" ref="H2:H35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51"/>
  <sheetViews>
    <sheetView workbookViewId="0">
      <selection activeCell="E13" sqref="E13"/>
    </sheetView>
  </sheetViews>
  <sheetFormatPr defaultRowHeight="13.8"/>
  <cols>
    <col min="1" max="1" width="15" customWidth="1"/>
    <col min="2" max="2" width="25" customWidth="1"/>
    <col min="3" max="3" width="13" customWidth="1"/>
    <col min="4" max="4" width="21" customWidth="1"/>
    <col min="5" max="5" width="20" customWidth="1"/>
    <col min="6" max="6" width="21" customWidth="1"/>
    <col min="7" max="7" width="16" customWidth="1"/>
    <col min="8" max="8" width="17" customWidth="1"/>
    <col min="9" max="12" width="16" customWidth="1"/>
    <col min="13" max="13" width="18"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t="s">
        <v>15</v>
      </c>
      <c r="D2" t="s">
        <v>16</v>
      </c>
      <c r="E2" t="s">
        <v>17</v>
      </c>
      <c r="F2" t="s">
        <v>18</v>
      </c>
      <c r="G2" t="s">
        <v>19</v>
      </c>
      <c r="H2" s="2">
        <v>45806</v>
      </c>
      <c r="I2" s="3">
        <v>895</v>
      </c>
      <c r="J2">
        <v>63</v>
      </c>
      <c r="K2" t="s">
        <v>20</v>
      </c>
      <c r="L2" t="s">
        <v>21</v>
      </c>
      <c r="M2">
        <v>4</v>
      </c>
    </row>
    <row r="3" spans="1:13">
      <c r="A3" t="s">
        <v>22</v>
      </c>
      <c r="B3" t="s">
        <v>23</v>
      </c>
      <c r="C3" t="s">
        <v>24</v>
      </c>
      <c r="D3" t="s">
        <v>25</v>
      </c>
      <c r="E3" t="s">
        <v>17</v>
      </c>
      <c r="F3" t="s">
        <v>18</v>
      </c>
      <c r="G3" t="s">
        <v>19</v>
      </c>
      <c r="H3" s="2">
        <v>45314</v>
      </c>
      <c r="I3" s="3">
        <v>475</v>
      </c>
      <c r="J3">
        <v>34</v>
      </c>
      <c r="K3" t="s">
        <v>26</v>
      </c>
      <c r="L3" t="s">
        <v>21</v>
      </c>
      <c r="M3">
        <v>4</v>
      </c>
    </row>
    <row r="4" spans="1:13">
      <c r="A4" t="s">
        <v>27</v>
      </c>
      <c r="B4" t="s">
        <v>28</v>
      </c>
      <c r="C4" t="s">
        <v>24</v>
      </c>
      <c r="D4" t="s">
        <v>29</v>
      </c>
      <c r="E4" t="s">
        <v>30</v>
      </c>
      <c r="F4" t="s">
        <v>18</v>
      </c>
      <c r="G4" t="s">
        <v>31</v>
      </c>
      <c r="H4" s="2">
        <v>45563</v>
      </c>
      <c r="I4" s="3">
        <v>995</v>
      </c>
      <c r="J4">
        <v>74</v>
      </c>
      <c r="K4" t="s">
        <v>26</v>
      </c>
      <c r="L4" t="s">
        <v>32</v>
      </c>
      <c r="M4">
        <v>4</v>
      </c>
    </row>
    <row r="5" spans="1:13">
      <c r="A5" t="s">
        <v>33</v>
      </c>
      <c r="B5" t="s">
        <v>34</v>
      </c>
      <c r="C5" t="s">
        <v>35</v>
      </c>
      <c r="D5" t="s">
        <v>25</v>
      </c>
      <c r="E5" t="s">
        <v>17</v>
      </c>
      <c r="F5" t="s">
        <v>36</v>
      </c>
      <c r="G5" t="s">
        <v>19</v>
      </c>
      <c r="H5" s="2">
        <v>46017</v>
      </c>
      <c r="I5" s="3">
        <v>375</v>
      </c>
      <c r="J5">
        <v>8</v>
      </c>
      <c r="K5" t="s">
        <v>26</v>
      </c>
      <c r="L5" t="s">
        <v>32</v>
      </c>
      <c r="M5">
        <v>3</v>
      </c>
    </row>
    <row r="6" spans="1:13">
      <c r="A6" t="s">
        <v>37</v>
      </c>
      <c r="B6" t="s">
        <v>38</v>
      </c>
      <c r="C6" t="s">
        <v>35</v>
      </c>
      <c r="D6" t="s">
        <v>29</v>
      </c>
      <c r="E6" t="s">
        <v>39</v>
      </c>
      <c r="F6" t="s">
        <v>40</v>
      </c>
      <c r="G6" t="s">
        <v>41</v>
      </c>
      <c r="H6" s="2">
        <v>45427</v>
      </c>
      <c r="I6" s="3">
        <v>390</v>
      </c>
      <c r="J6">
        <v>18</v>
      </c>
      <c r="K6" t="s">
        <v>26</v>
      </c>
      <c r="L6" t="s">
        <v>32</v>
      </c>
      <c r="M6">
        <v>4</v>
      </c>
    </row>
    <row r="7" spans="1:13">
      <c r="A7" t="s">
        <v>42</v>
      </c>
      <c r="B7" t="s">
        <v>43</v>
      </c>
      <c r="C7" t="s">
        <v>44</v>
      </c>
      <c r="D7" t="s">
        <v>45</v>
      </c>
      <c r="E7" t="s">
        <v>39</v>
      </c>
      <c r="F7" t="s">
        <v>46</v>
      </c>
      <c r="G7" t="s">
        <v>31</v>
      </c>
      <c r="H7" s="2">
        <v>45694</v>
      </c>
      <c r="I7" s="3">
        <v>95</v>
      </c>
      <c r="J7">
        <v>2</v>
      </c>
      <c r="K7" t="s">
        <v>26</v>
      </c>
      <c r="L7" t="s">
        <v>32</v>
      </c>
      <c r="M7">
        <v>3</v>
      </c>
    </row>
    <row r="8" spans="1:13">
      <c r="A8" t="s">
        <v>47</v>
      </c>
      <c r="B8" t="s">
        <v>48</v>
      </c>
      <c r="C8" t="s">
        <v>24</v>
      </c>
      <c r="D8" t="s">
        <v>49</v>
      </c>
      <c r="E8" t="s">
        <v>17</v>
      </c>
      <c r="F8" t="s">
        <v>18</v>
      </c>
      <c r="G8" t="s">
        <v>31</v>
      </c>
      <c r="H8" s="2">
        <v>46124</v>
      </c>
      <c r="I8" s="3">
        <v>1315</v>
      </c>
      <c r="J8">
        <v>72</v>
      </c>
      <c r="K8" t="s">
        <v>26</v>
      </c>
      <c r="L8" t="s">
        <v>50</v>
      </c>
      <c r="M8">
        <v>2</v>
      </c>
    </row>
    <row r="9" spans="1:13">
      <c r="A9" t="s">
        <v>51</v>
      </c>
      <c r="B9" t="s">
        <v>52</v>
      </c>
      <c r="C9" t="s">
        <v>35</v>
      </c>
      <c r="D9" t="s">
        <v>29</v>
      </c>
      <c r="E9" t="s">
        <v>53</v>
      </c>
      <c r="F9" t="s">
        <v>18</v>
      </c>
      <c r="G9" t="s">
        <v>41</v>
      </c>
      <c r="H9" s="2">
        <v>45399</v>
      </c>
      <c r="I9" s="3">
        <v>625</v>
      </c>
      <c r="J9">
        <v>35</v>
      </c>
      <c r="K9" t="s">
        <v>26</v>
      </c>
      <c r="L9" t="s">
        <v>32</v>
      </c>
      <c r="M9">
        <v>2</v>
      </c>
    </row>
    <row r="10" spans="1:13">
      <c r="A10" t="s">
        <v>54</v>
      </c>
      <c r="B10" t="s">
        <v>55</v>
      </c>
      <c r="C10" t="s">
        <v>44</v>
      </c>
      <c r="D10" t="s">
        <v>25</v>
      </c>
      <c r="E10" t="s">
        <v>56</v>
      </c>
      <c r="F10" t="s">
        <v>36</v>
      </c>
      <c r="G10" t="s">
        <v>41</v>
      </c>
      <c r="H10" s="2">
        <v>45494</v>
      </c>
      <c r="I10" s="3">
        <v>560</v>
      </c>
      <c r="J10">
        <v>19</v>
      </c>
      <c r="K10" t="s">
        <v>26</v>
      </c>
      <c r="L10" t="s">
        <v>32</v>
      </c>
      <c r="M10">
        <v>4</v>
      </c>
    </row>
    <row r="11" spans="1:13">
      <c r="A11" t="s">
        <v>57</v>
      </c>
      <c r="B11" t="s">
        <v>58</v>
      </c>
      <c r="C11" t="s">
        <v>44</v>
      </c>
      <c r="D11" t="s">
        <v>59</v>
      </c>
      <c r="E11" t="s">
        <v>53</v>
      </c>
      <c r="F11" t="s">
        <v>60</v>
      </c>
      <c r="G11" t="s">
        <v>31</v>
      </c>
      <c r="H11" s="2">
        <v>45536</v>
      </c>
      <c r="I11" s="3">
        <v>485</v>
      </c>
      <c r="J11">
        <v>22</v>
      </c>
      <c r="K11" t="s">
        <v>20</v>
      </c>
      <c r="L11" t="s">
        <v>50</v>
      </c>
      <c r="M11">
        <v>4</v>
      </c>
    </row>
    <row r="12" spans="1:13">
      <c r="A12" t="s">
        <v>61</v>
      </c>
      <c r="B12" t="s">
        <v>62</v>
      </c>
      <c r="C12" t="s">
        <v>35</v>
      </c>
      <c r="D12" t="s">
        <v>16</v>
      </c>
      <c r="E12" t="s">
        <v>17</v>
      </c>
      <c r="F12" t="s">
        <v>46</v>
      </c>
      <c r="G12" t="s">
        <v>41</v>
      </c>
      <c r="H12" s="2">
        <v>45571</v>
      </c>
      <c r="I12" s="3">
        <v>235</v>
      </c>
      <c r="J12">
        <v>7</v>
      </c>
      <c r="K12" t="s">
        <v>26</v>
      </c>
      <c r="L12" t="s">
        <v>50</v>
      </c>
      <c r="M12">
        <v>3</v>
      </c>
    </row>
    <row r="13" spans="1:13">
      <c r="A13" t="s">
        <v>63</v>
      </c>
      <c r="B13" t="s">
        <v>64</v>
      </c>
      <c r="C13" t="s">
        <v>24</v>
      </c>
      <c r="D13" t="s">
        <v>49</v>
      </c>
      <c r="E13" t="s">
        <v>53</v>
      </c>
      <c r="F13" t="s">
        <v>36</v>
      </c>
      <c r="G13" t="s">
        <v>19</v>
      </c>
      <c r="H13" s="2">
        <v>45664</v>
      </c>
      <c r="I13" s="3">
        <v>1130</v>
      </c>
      <c r="J13">
        <v>69</v>
      </c>
      <c r="K13" t="s">
        <v>26</v>
      </c>
      <c r="L13" t="s">
        <v>21</v>
      </c>
      <c r="M13">
        <v>5</v>
      </c>
    </row>
    <row r="14" spans="1:13">
      <c r="A14" t="s">
        <v>65</v>
      </c>
      <c r="B14" t="s">
        <v>66</v>
      </c>
      <c r="C14" t="s">
        <v>24</v>
      </c>
      <c r="D14" t="s">
        <v>25</v>
      </c>
      <c r="E14" t="s">
        <v>17</v>
      </c>
      <c r="F14" t="s">
        <v>60</v>
      </c>
      <c r="G14" t="s">
        <v>19</v>
      </c>
      <c r="H14" s="2">
        <v>46104</v>
      </c>
      <c r="I14" s="3">
        <v>455</v>
      </c>
      <c r="J14">
        <v>23</v>
      </c>
      <c r="K14" t="s">
        <v>26</v>
      </c>
      <c r="L14" t="s">
        <v>50</v>
      </c>
      <c r="M14">
        <v>4</v>
      </c>
    </row>
    <row r="15" spans="1:13">
      <c r="A15" t="s">
        <v>67</v>
      </c>
      <c r="B15" t="s">
        <v>68</v>
      </c>
      <c r="C15" t="s">
        <v>35</v>
      </c>
      <c r="D15" t="s">
        <v>29</v>
      </c>
      <c r="E15" t="s">
        <v>17</v>
      </c>
      <c r="F15" t="s">
        <v>18</v>
      </c>
      <c r="G15" t="s">
        <v>31</v>
      </c>
      <c r="H15" s="2">
        <v>45497</v>
      </c>
      <c r="I15" s="3">
        <v>1045</v>
      </c>
      <c r="J15">
        <v>75</v>
      </c>
      <c r="K15" t="s">
        <v>20</v>
      </c>
      <c r="L15" t="s">
        <v>32</v>
      </c>
      <c r="M15">
        <v>3</v>
      </c>
    </row>
    <row r="16" spans="1:13">
      <c r="A16" t="s">
        <v>69</v>
      </c>
      <c r="B16" t="s">
        <v>62</v>
      </c>
      <c r="C16" t="s">
        <v>15</v>
      </c>
      <c r="D16" t="s">
        <v>59</v>
      </c>
      <c r="E16" t="s">
        <v>39</v>
      </c>
      <c r="F16" t="s">
        <v>60</v>
      </c>
      <c r="G16" t="s">
        <v>31</v>
      </c>
      <c r="H16" s="2">
        <v>45745</v>
      </c>
      <c r="I16" s="3">
        <v>270</v>
      </c>
      <c r="J16">
        <v>12</v>
      </c>
      <c r="K16" t="s">
        <v>20</v>
      </c>
      <c r="L16" t="s">
        <v>32</v>
      </c>
      <c r="M16">
        <v>4</v>
      </c>
    </row>
    <row r="17" spans="1:13">
      <c r="A17" t="s">
        <v>70</v>
      </c>
      <c r="B17" t="s">
        <v>58</v>
      </c>
      <c r="C17" t="s">
        <v>35</v>
      </c>
      <c r="D17" t="s">
        <v>25</v>
      </c>
      <c r="E17" t="s">
        <v>53</v>
      </c>
      <c r="F17" t="s">
        <v>46</v>
      </c>
      <c r="G17" t="s">
        <v>41</v>
      </c>
      <c r="H17" s="2">
        <v>45895</v>
      </c>
      <c r="I17" s="3">
        <v>520</v>
      </c>
      <c r="J17">
        <v>25</v>
      </c>
      <c r="K17" t="s">
        <v>26</v>
      </c>
      <c r="L17" t="s">
        <v>32</v>
      </c>
      <c r="M17">
        <v>3</v>
      </c>
    </row>
    <row r="18" spans="1:13">
      <c r="A18" t="s">
        <v>71</v>
      </c>
      <c r="B18" t="s">
        <v>28</v>
      </c>
      <c r="C18" t="s">
        <v>24</v>
      </c>
      <c r="D18" t="s">
        <v>16</v>
      </c>
      <c r="E18" t="s">
        <v>30</v>
      </c>
      <c r="F18" t="s">
        <v>46</v>
      </c>
      <c r="G18" t="s">
        <v>41</v>
      </c>
      <c r="H18" s="2">
        <v>45522</v>
      </c>
      <c r="I18" s="3">
        <v>235</v>
      </c>
      <c r="J18">
        <v>4</v>
      </c>
      <c r="K18" t="s">
        <v>26</v>
      </c>
      <c r="L18" t="s">
        <v>32</v>
      </c>
      <c r="M18">
        <v>4</v>
      </c>
    </row>
    <row r="19" spans="1:13">
      <c r="A19" t="s">
        <v>72</v>
      </c>
      <c r="B19" t="s">
        <v>73</v>
      </c>
      <c r="C19" t="s">
        <v>44</v>
      </c>
      <c r="D19" t="s">
        <v>45</v>
      </c>
      <c r="E19" t="s">
        <v>56</v>
      </c>
      <c r="F19" t="s">
        <v>36</v>
      </c>
      <c r="G19" t="s">
        <v>41</v>
      </c>
      <c r="H19" s="2">
        <v>46139</v>
      </c>
      <c r="I19" s="3">
        <v>565</v>
      </c>
      <c r="J19">
        <v>28</v>
      </c>
      <c r="K19" t="s">
        <v>26</v>
      </c>
      <c r="L19" t="s">
        <v>32</v>
      </c>
      <c r="M19">
        <v>3</v>
      </c>
    </row>
    <row r="20" spans="1:13">
      <c r="A20" t="s">
        <v>74</v>
      </c>
      <c r="B20" t="s">
        <v>75</v>
      </c>
      <c r="C20" t="s">
        <v>35</v>
      </c>
      <c r="D20" t="s">
        <v>45</v>
      </c>
      <c r="E20" t="s">
        <v>30</v>
      </c>
      <c r="F20" t="s">
        <v>46</v>
      </c>
      <c r="G20" t="s">
        <v>19</v>
      </c>
      <c r="H20" s="2">
        <v>45568</v>
      </c>
      <c r="I20" s="3">
        <v>215</v>
      </c>
      <c r="J20">
        <v>7</v>
      </c>
      <c r="K20" t="s">
        <v>26</v>
      </c>
      <c r="L20" t="s">
        <v>32</v>
      </c>
      <c r="M20">
        <v>4</v>
      </c>
    </row>
    <row r="21" spans="1:13">
      <c r="A21" t="s">
        <v>76</v>
      </c>
      <c r="B21" t="s">
        <v>77</v>
      </c>
      <c r="C21" t="s">
        <v>24</v>
      </c>
      <c r="D21" t="s">
        <v>59</v>
      </c>
      <c r="E21" t="s">
        <v>17</v>
      </c>
      <c r="F21" t="s">
        <v>40</v>
      </c>
      <c r="G21" t="s">
        <v>41</v>
      </c>
      <c r="H21" s="2">
        <v>45362</v>
      </c>
      <c r="I21" s="3">
        <v>435</v>
      </c>
      <c r="J21">
        <v>10</v>
      </c>
      <c r="K21" t="s">
        <v>20</v>
      </c>
      <c r="L21" t="s">
        <v>32</v>
      </c>
      <c r="M21">
        <v>4</v>
      </c>
    </row>
    <row r="22" spans="1:13">
      <c r="A22" t="s">
        <v>78</v>
      </c>
      <c r="B22" t="s">
        <v>79</v>
      </c>
      <c r="C22" t="s">
        <v>15</v>
      </c>
      <c r="D22" t="s">
        <v>45</v>
      </c>
      <c r="E22" t="s">
        <v>17</v>
      </c>
      <c r="F22" t="s">
        <v>36</v>
      </c>
      <c r="G22" t="s">
        <v>19</v>
      </c>
      <c r="H22" s="2">
        <v>45713</v>
      </c>
      <c r="I22" s="3">
        <v>640</v>
      </c>
      <c r="J22">
        <v>23</v>
      </c>
      <c r="K22" t="s">
        <v>26</v>
      </c>
      <c r="L22" t="s">
        <v>21</v>
      </c>
      <c r="M22">
        <v>4</v>
      </c>
    </row>
    <row r="23" spans="1:13">
      <c r="A23" t="s">
        <v>80</v>
      </c>
      <c r="B23" t="s">
        <v>81</v>
      </c>
      <c r="C23" t="s">
        <v>15</v>
      </c>
      <c r="D23" t="s">
        <v>59</v>
      </c>
      <c r="E23" t="s">
        <v>39</v>
      </c>
      <c r="F23" t="s">
        <v>40</v>
      </c>
      <c r="G23" t="s">
        <v>19</v>
      </c>
      <c r="H23" s="2">
        <v>45324</v>
      </c>
      <c r="I23" s="3">
        <v>225</v>
      </c>
      <c r="J23">
        <v>4</v>
      </c>
      <c r="K23" t="s">
        <v>26</v>
      </c>
      <c r="L23" t="s">
        <v>32</v>
      </c>
      <c r="M23">
        <v>4</v>
      </c>
    </row>
    <row r="24" spans="1:13">
      <c r="A24" t="s">
        <v>82</v>
      </c>
      <c r="B24" t="s">
        <v>28</v>
      </c>
      <c r="C24" t="s">
        <v>24</v>
      </c>
      <c r="D24" t="s">
        <v>49</v>
      </c>
      <c r="E24" t="s">
        <v>39</v>
      </c>
      <c r="F24" t="s">
        <v>36</v>
      </c>
      <c r="G24" t="s">
        <v>31</v>
      </c>
      <c r="H24" s="2">
        <v>45874</v>
      </c>
      <c r="I24" s="3">
        <v>515</v>
      </c>
      <c r="J24">
        <v>45</v>
      </c>
      <c r="K24" t="s">
        <v>20</v>
      </c>
      <c r="L24" t="s">
        <v>32</v>
      </c>
      <c r="M24">
        <v>4</v>
      </c>
    </row>
    <row r="25" spans="1:13">
      <c r="A25" t="s">
        <v>83</v>
      </c>
      <c r="B25" t="s">
        <v>84</v>
      </c>
      <c r="C25" t="s">
        <v>35</v>
      </c>
      <c r="D25" t="s">
        <v>49</v>
      </c>
      <c r="E25" t="s">
        <v>53</v>
      </c>
      <c r="F25" t="s">
        <v>18</v>
      </c>
      <c r="G25" t="s">
        <v>41</v>
      </c>
      <c r="H25" s="2">
        <v>45894</v>
      </c>
      <c r="I25" s="3">
        <v>435</v>
      </c>
      <c r="J25">
        <v>42</v>
      </c>
      <c r="K25" t="s">
        <v>26</v>
      </c>
      <c r="L25" t="s">
        <v>50</v>
      </c>
      <c r="M25">
        <v>4</v>
      </c>
    </row>
    <row r="26" spans="1:13">
      <c r="A26" t="s">
        <v>85</v>
      </c>
      <c r="B26" t="s">
        <v>551</v>
      </c>
      <c r="C26" t="s">
        <v>24</v>
      </c>
      <c r="D26" t="s">
        <v>59</v>
      </c>
      <c r="E26" t="s">
        <v>30</v>
      </c>
      <c r="F26" t="s">
        <v>60</v>
      </c>
      <c r="G26" t="s">
        <v>31</v>
      </c>
      <c r="H26" s="2">
        <v>45878</v>
      </c>
      <c r="I26" s="3">
        <v>210</v>
      </c>
      <c r="J26">
        <v>9</v>
      </c>
      <c r="K26" t="s">
        <v>26</v>
      </c>
      <c r="L26" t="s">
        <v>21</v>
      </c>
      <c r="M26">
        <v>4</v>
      </c>
    </row>
    <row r="27" spans="1:13">
      <c r="A27" t="s">
        <v>86</v>
      </c>
      <c r="B27" t="s">
        <v>87</v>
      </c>
      <c r="C27" t="s">
        <v>24</v>
      </c>
      <c r="D27" t="s">
        <v>29</v>
      </c>
      <c r="E27" t="s">
        <v>88</v>
      </c>
      <c r="F27" t="s">
        <v>46</v>
      </c>
      <c r="G27" t="s">
        <v>31</v>
      </c>
      <c r="H27" s="2">
        <v>45721</v>
      </c>
      <c r="I27" s="3">
        <v>435</v>
      </c>
      <c r="J27">
        <v>25</v>
      </c>
      <c r="K27" t="s">
        <v>20</v>
      </c>
      <c r="L27" t="s">
        <v>21</v>
      </c>
      <c r="M27">
        <v>4</v>
      </c>
    </row>
    <row r="28" spans="1:13">
      <c r="A28" t="s">
        <v>89</v>
      </c>
      <c r="B28" t="s">
        <v>90</v>
      </c>
      <c r="C28" t="s">
        <v>44</v>
      </c>
      <c r="D28" t="s">
        <v>45</v>
      </c>
      <c r="E28" t="s">
        <v>17</v>
      </c>
      <c r="F28" t="s">
        <v>60</v>
      </c>
      <c r="G28" t="s">
        <v>19</v>
      </c>
      <c r="H28" s="2">
        <v>46060</v>
      </c>
      <c r="I28" s="3">
        <v>510</v>
      </c>
      <c r="J28">
        <v>20</v>
      </c>
      <c r="K28" t="s">
        <v>26</v>
      </c>
      <c r="L28" t="s">
        <v>32</v>
      </c>
      <c r="M28">
        <v>3</v>
      </c>
    </row>
    <row r="29" spans="1:13">
      <c r="A29" t="s">
        <v>91</v>
      </c>
      <c r="B29" t="s">
        <v>92</v>
      </c>
      <c r="C29" t="s">
        <v>15</v>
      </c>
      <c r="D29" t="s">
        <v>45</v>
      </c>
      <c r="E29" t="s">
        <v>17</v>
      </c>
      <c r="F29" t="s">
        <v>18</v>
      </c>
      <c r="G29" t="s">
        <v>41</v>
      </c>
      <c r="H29" s="2">
        <v>45966</v>
      </c>
      <c r="I29" s="3">
        <v>1480</v>
      </c>
      <c r="J29">
        <v>72</v>
      </c>
      <c r="K29" t="s">
        <v>26</v>
      </c>
      <c r="L29" t="s">
        <v>32</v>
      </c>
      <c r="M29">
        <v>4</v>
      </c>
    </row>
    <row r="30" spans="1:13">
      <c r="A30" t="s">
        <v>93</v>
      </c>
      <c r="B30" t="s">
        <v>94</v>
      </c>
      <c r="C30" t="s">
        <v>35</v>
      </c>
      <c r="D30" t="s">
        <v>16</v>
      </c>
      <c r="E30" t="s">
        <v>88</v>
      </c>
      <c r="F30" t="s">
        <v>40</v>
      </c>
      <c r="G30" t="s">
        <v>31</v>
      </c>
      <c r="H30" s="2">
        <v>45673</v>
      </c>
      <c r="I30" s="3">
        <v>355</v>
      </c>
      <c r="J30">
        <v>17</v>
      </c>
      <c r="K30" t="s">
        <v>26</v>
      </c>
      <c r="L30" t="s">
        <v>50</v>
      </c>
      <c r="M30">
        <v>4</v>
      </c>
    </row>
    <row r="31" spans="1:13">
      <c r="A31" t="s">
        <v>95</v>
      </c>
      <c r="B31" t="s">
        <v>96</v>
      </c>
      <c r="C31" t="s">
        <v>24</v>
      </c>
      <c r="D31" t="s">
        <v>16</v>
      </c>
      <c r="E31" t="s">
        <v>39</v>
      </c>
      <c r="F31" t="s">
        <v>36</v>
      </c>
      <c r="G31" t="s">
        <v>19</v>
      </c>
      <c r="H31" s="2">
        <v>45325</v>
      </c>
      <c r="I31" s="3">
        <v>1410</v>
      </c>
      <c r="J31">
        <v>67</v>
      </c>
      <c r="K31" t="s">
        <v>26</v>
      </c>
      <c r="L31" t="s">
        <v>32</v>
      </c>
      <c r="M31">
        <v>5</v>
      </c>
    </row>
    <row r="32" spans="1:13">
      <c r="A32" t="s">
        <v>97</v>
      </c>
      <c r="B32" t="s">
        <v>98</v>
      </c>
      <c r="C32" t="s">
        <v>35</v>
      </c>
      <c r="D32" t="s">
        <v>49</v>
      </c>
      <c r="E32" t="s">
        <v>39</v>
      </c>
      <c r="F32" t="s">
        <v>60</v>
      </c>
      <c r="G32" t="s">
        <v>41</v>
      </c>
      <c r="H32" s="2">
        <v>45657</v>
      </c>
      <c r="I32" s="3">
        <v>355</v>
      </c>
      <c r="J32">
        <v>11</v>
      </c>
      <c r="K32" t="s">
        <v>26</v>
      </c>
      <c r="L32" t="s">
        <v>32</v>
      </c>
      <c r="M32">
        <v>5</v>
      </c>
    </row>
    <row r="33" spans="1:13">
      <c r="A33" t="s">
        <v>99</v>
      </c>
      <c r="B33" t="s">
        <v>100</v>
      </c>
      <c r="C33" t="s">
        <v>44</v>
      </c>
      <c r="D33" t="s">
        <v>25</v>
      </c>
      <c r="E33" t="s">
        <v>17</v>
      </c>
      <c r="F33" t="s">
        <v>40</v>
      </c>
      <c r="G33" t="s">
        <v>31</v>
      </c>
      <c r="H33" s="2">
        <v>45636</v>
      </c>
      <c r="I33" s="3">
        <v>230</v>
      </c>
      <c r="J33">
        <v>19</v>
      </c>
      <c r="K33" t="s">
        <v>26</v>
      </c>
      <c r="L33" t="s">
        <v>32</v>
      </c>
      <c r="M33">
        <v>3</v>
      </c>
    </row>
    <row r="34" spans="1:13">
      <c r="A34" t="s">
        <v>101</v>
      </c>
      <c r="B34" t="s">
        <v>102</v>
      </c>
      <c r="C34" t="s">
        <v>15</v>
      </c>
      <c r="D34" t="s">
        <v>16</v>
      </c>
      <c r="E34" t="s">
        <v>88</v>
      </c>
      <c r="F34" t="s">
        <v>46</v>
      </c>
      <c r="G34" t="s">
        <v>31</v>
      </c>
      <c r="H34" s="2">
        <v>45294</v>
      </c>
      <c r="I34" s="3">
        <v>160</v>
      </c>
      <c r="J34">
        <v>6</v>
      </c>
      <c r="K34" t="s">
        <v>26</v>
      </c>
      <c r="L34" t="s">
        <v>32</v>
      </c>
      <c r="M34">
        <v>3</v>
      </c>
    </row>
    <row r="35" spans="1:13">
      <c r="A35" t="s">
        <v>103</v>
      </c>
      <c r="B35" t="s">
        <v>104</v>
      </c>
      <c r="C35" t="s">
        <v>24</v>
      </c>
      <c r="D35" t="s">
        <v>49</v>
      </c>
      <c r="E35" t="s">
        <v>39</v>
      </c>
      <c r="F35" t="s">
        <v>60</v>
      </c>
      <c r="G35" t="s">
        <v>19</v>
      </c>
      <c r="H35" s="2">
        <v>46042</v>
      </c>
      <c r="I35" s="3">
        <v>225</v>
      </c>
      <c r="J35">
        <v>5</v>
      </c>
      <c r="K35" t="s">
        <v>20</v>
      </c>
      <c r="L35" t="s">
        <v>32</v>
      </c>
      <c r="M35">
        <v>5</v>
      </c>
    </row>
    <row r="36" spans="1:13">
      <c r="A36" t="s">
        <v>105</v>
      </c>
      <c r="B36" t="s">
        <v>106</v>
      </c>
      <c r="C36" t="s">
        <v>24</v>
      </c>
      <c r="D36" t="s">
        <v>49</v>
      </c>
      <c r="E36" t="s">
        <v>88</v>
      </c>
      <c r="F36" t="s">
        <v>36</v>
      </c>
      <c r="G36" t="s">
        <v>31</v>
      </c>
      <c r="H36" s="2">
        <v>45693</v>
      </c>
      <c r="I36" s="3">
        <v>835</v>
      </c>
      <c r="J36">
        <v>50</v>
      </c>
      <c r="K36" t="s">
        <v>20</v>
      </c>
      <c r="L36" t="s">
        <v>32</v>
      </c>
      <c r="M36">
        <v>4</v>
      </c>
    </row>
    <row r="37" spans="1:13">
      <c r="A37" t="s">
        <v>107</v>
      </c>
      <c r="B37" t="s">
        <v>108</v>
      </c>
      <c r="C37" t="s">
        <v>24</v>
      </c>
      <c r="D37" t="s">
        <v>49</v>
      </c>
      <c r="E37" t="s">
        <v>56</v>
      </c>
      <c r="F37" t="s">
        <v>18</v>
      </c>
      <c r="G37" t="s">
        <v>41</v>
      </c>
      <c r="H37" s="2">
        <v>45799</v>
      </c>
      <c r="I37" s="3">
        <v>645</v>
      </c>
      <c r="J37">
        <v>26</v>
      </c>
      <c r="K37" t="s">
        <v>20</v>
      </c>
      <c r="L37" t="s">
        <v>50</v>
      </c>
      <c r="M37">
        <v>5</v>
      </c>
    </row>
    <row r="38" spans="1:13">
      <c r="A38" t="s">
        <v>109</v>
      </c>
      <c r="B38" t="s">
        <v>110</v>
      </c>
      <c r="C38" t="s">
        <v>24</v>
      </c>
      <c r="D38" t="s">
        <v>59</v>
      </c>
      <c r="E38" t="s">
        <v>53</v>
      </c>
      <c r="F38" t="s">
        <v>60</v>
      </c>
      <c r="G38" t="s">
        <v>19</v>
      </c>
      <c r="H38" s="2">
        <v>45505</v>
      </c>
      <c r="I38" s="3">
        <v>385</v>
      </c>
      <c r="J38">
        <v>23</v>
      </c>
      <c r="K38" t="s">
        <v>26</v>
      </c>
      <c r="L38" t="s">
        <v>21</v>
      </c>
      <c r="M38">
        <v>5</v>
      </c>
    </row>
    <row r="39" spans="1:13">
      <c r="A39" t="s">
        <v>111</v>
      </c>
      <c r="B39" t="s">
        <v>112</v>
      </c>
      <c r="C39" t="s">
        <v>15</v>
      </c>
      <c r="D39" t="s">
        <v>49</v>
      </c>
      <c r="E39" t="s">
        <v>88</v>
      </c>
      <c r="F39" t="s">
        <v>36</v>
      </c>
      <c r="G39" t="s">
        <v>19</v>
      </c>
      <c r="H39" s="2">
        <v>45983</v>
      </c>
      <c r="I39" s="3">
        <v>1045</v>
      </c>
      <c r="J39">
        <v>73</v>
      </c>
      <c r="K39" t="s">
        <v>26</v>
      </c>
      <c r="L39" t="s">
        <v>21</v>
      </c>
      <c r="M39">
        <v>4</v>
      </c>
    </row>
    <row r="40" spans="1:13">
      <c r="A40" t="s">
        <v>113</v>
      </c>
      <c r="B40" t="s">
        <v>114</v>
      </c>
      <c r="C40" t="s">
        <v>35</v>
      </c>
      <c r="D40" t="s">
        <v>16</v>
      </c>
      <c r="E40" t="s">
        <v>39</v>
      </c>
      <c r="F40" t="s">
        <v>18</v>
      </c>
      <c r="G40" t="s">
        <v>41</v>
      </c>
      <c r="H40" s="2">
        <v>46160</v>
      </c>
      <c r="I40" s="3">
        <v>745</v>
      </c>
      <c r="J40">
        <v>67</v>
      </c>
      <c r="K40" t="s">
        <v>20</v>
      </c>
      <c r="L40" t="s">
        <v>32</v>
      </c>
      <c r="M40">
        <v>5</v>
      </c>
    </row>
    <row r="41" spans="1:13">
      <c r="A41" t="s">
        <v>115</v>
      </c>
      <c r="B41" t="s">
        <v>116</v>
      </c>
      <c r="C41" t="s">
        <v>15</v>
      </c>
      <c r="D41" t="s">
        <v>16</v>
      </c>
      <c r="E41" t="s">
        <v>88</v>
      </c>
      <c r="F41" t="s">
        <v>46</v>
      </c>
      <c r="G41" t="s">
        <v>41</v>
      </c>
      <c r="H41" s="2">
        <v>45785</v>
      </c>
      <c r="I41" s="3">
        <v>240</v>
      </c>
      <c r="J41">
        <v>13</v>
      </c>
      <c r="K41" t="s">
        <v>26</v>
      </c>
      <c r="L41" t="s">
        <v>32</v>
      </c>
      <c r="M41">
        <v>2</v>
      </c>
    </row>
    <row r="42" spans="1:13">
      <c r="A42" t="s">
        <v>117</v>
      </c>
      <c r="B42" t="s">
        <v>118</v>
      </c>
      <c r="C42" t="s">
        <v>24</v>
      </c>
      <c r="D42" t="s">
        <v>29</v>
      </c>
      <c r="E42" t="s">
        <v>56</v>
      </c>
      <c r="F42" t="s">
        <v>18</v>
      </c>
      <c r="G42" t="s">
        <v>41</v>
      </c>
      <c r="H42" s="2">
        <v>45397</v>
      </c>
      <c r="I42" s="3">
        <v>635</v>
      </c>
      <c r="J42">
        <v>35</v>
      </c>
      <c r="K42" t="s">
        <v>26</v>
      </c>
      <c r="L42" t="s">
        <v>50</v>
      </c>
      <c r="M42">
        <v>5</v>
      </c>
    </row>
    <row r="43" spans="1:13">
      <c r="A43" t="s">
        <v>119</v>
      </c>
      <c r="B43" t="s">
        <v>120</v>
      </c>
      <c r="C43" t="s">
        <v>35</v>
      </c>
      <c r="D43" t="s">
        <v>25</v>
      </c>
      <c r="E43" t="s">
        <v>56</v>
      </c>
      <c r="F43" t="s">
        <v>40</v>
      </c>
      <c r="G43" t="s">
        <v>41</v>
      </c>
      <c r="H43" s="2">
        <v>45650</v>
      </c>
      <c r="I43" s="3">
        <v>570</v>
      </c>
      <c r="J43">
        <v>17</v>
      </c>
      <c r="K43" t="s">
        <v>26</v>
      </c>
      <c r="L43" t="s">
        <v>32</v>
      </c>
      <c r="M43">
        <v>4</v>
      </c>
    </row>
    <row r="44" spans="1:13">
      <c r="A44" t="s">
        <v>121</v>
      </c>
      <c r="B44" t="s">
        <v>122</v>
      </c>
      <c r="C44" t="s">
        <v>35</v>
      </c>
      <c r="D44" t="s">
        <v>45</v>
      </c>
      <c r="E44" t="s">
        <v>17</v>
      </c>
      <c r="F44" t="s">
        <v>40</v>
      </c>
      <c r="G44" t="s">
        <v>19</v>
      </c>
      <c r="H44" s="2">
        <v>45414</v>
      </c>
      <c r="I44" s="3">
        <v>425</v>
      </c>
      <c r="J44">
        <v>16</v>
      </c>
      <c r="K44" t="s">
        <v>26</v>
      </c>
      <c r="L44" t="s">
        <v>32</v>
      </c>
      <c r="M44">
        <v>2</v>
      </c>
    </row>
    <row r="45" spans="1:13">
      <c r="A45" t="s">
        <v>123</v>
      </c>
      <c r="B45" t="s">
        <v>104</v>
      </c>
      <c r="C45" t="s">
        <v>44</v>
      </c>
      <c r="D45" t="s">
        <v>16</v>
      </c>
      <c r="E45" t="s">
        <v>53</v>
      </c>
      <c r="F45" t="s">
        <v>46</v>
      </c>
      <c r="G45" t="s">
        <v>41</v>
      </c>
      <c r="H45" s="2">
        <v>45472</v>
      </c>
      <c r="I45" s="3">
        <v>245</v>
      </c>
      <c r="J45">
        <v>10</v>
      </c>
      <c r="K45" t="s">
        <v>26</v>
      </c>
      <c r="L45" t="s">
        <v>32</v>
      </c>
      <c r="M45">
        <v>4</v>
      </c>
    </row>
    <row r="46" spans="1:13">
      <c r="A46" t="s">
        <v>124</v>
      </c>
      <c r="B46" t="s">
        <v>125</v>
      </c>
      <c r="C46" t="s">
        <v>24</v>
      </c>
      <c r="D46" t="s">
        <v>16</v>
      </c>
      <c r="E46" t="s">
        <v>17</v>
      </c>
      <c r="F46" t="s">
        <v>18</v>
      </c>
      <c r="G46" t="s">
        <v>41</v>
      </c>
      <c r="H46" s="2">
        <v>45733</v>
      </c>
      <c r="I46" s="3">
        <v>435</v>
      </c>
      <c r="J46">
        <v>32</v>
      </c>
      <c r="K46" t="s">
        <v>26</v>
      </c>
      <c r="L46" t="s">
        <v>32</v>
      </c>
      <c r="M46">
        <v>4</v>
      </c>
    </row>
    <row r="47" spans="1:13">
      <c r="A47" t="s">
        <v>126</v>
      </c>
      <c r="B47" t="s">
        <v>127</v>
      </c>
      <c r="C47" t="s">
        <v>35</v>
      </c>
      <c r="D47" t="s">
        <v>45</v>
      </c>
      <c r="E47" t="s">
        <v>53</v>
      </c>
      <c r="F47" t="s">
        <v>36</v>
      </c>
      <c r="G47" t="s">
        <v>31</v>
      </c>
      <c r="H47" s="2">
        <v>45345</v>
      </c>
      <c r="I47" s="3">
        <v>705</v>
      </c>
      <c r="J47">
        <v>73</v>
      </c>
      <c r="K47" t="s">
        <v>20</v>
      </c>
      <c r="L47" t="s">
        <v>21</v>
      </c>
      <c r="M47">
        <v>4</v>
      </c>
    </row>
    <row r="48" spans="1:13">
      <c r="A48" t="s">
        <v>128</v>
      </c>
      <c r="B48" t="s">
        <v>129</v>
      </c>
      <c r="C48" t="s">
        <v>44</v>
      </c>
      <c r="D48" t="s">
        <v>29</v>
      </c>
      <c r="E48" t="s">
        <v>39</v>
      </c>
      <c r="F48" t="s">
        <v>46</v>
      </c>
      <c r="G48" t="s">
        <v>31</v>
      </c>
      <c r="H48" s="2">
        <v>46141</v>
      </c>
      <c r="I48" s="3">
        <v>130</v>
      </c>
      <c r="J48">
        <v>14</v>
      </c>
      <c r="K48" t="s">
        <v>20</v>
      </c>
      <c r="L48" t="s">
        <v>21</v>
      </c>
      <c r="M48">
        <v>5</v>
      </c>
    </row>
    <row r="49" spans="1:13">
      <c r="A49" t="s">
        <v>130</v>
      </c>
      <c r="B49" t="s">
        <v>131</v>
      </c>
      <c r="C49" t="s">
        <v>35</v>
      </c>
      <c r="D49" t="s">
        <v>49</v>
      </c>
      <c r="E49" t="s">
        <v>53</v>
      </c>
      <c r="F49" t="s">
        <v>60</v>
      </c>
      <c r="G49" t="s">
        <v>19</v>
      </c>
      <c r="H49" s="2">
        <v>45333</v>
      </c>
      <c r="I49" s="3">
        <v>460</v>
      </c>
      <c r="J49">
        <v>17</v>
      </c>
      <c r="K49" t="s">
        <v>26</v>
      </c>
      <c r="L49" t="s">
        <v>32</v>
      </c>
      <c r="M49">
        <v>4</v>
      </c>
    </row>
    <row r="50" spans="1:13">
      <c r="A50" t="s">
        <v>132</v>
      </c>
      <c r="B50" t="s">
        <v>133</v>
      </c>
      <c r="C50" t="s">
        <v>35</v>
      </c>
      <c r="D50" t="s">
        <v>45</v>
      </c>
      <c r="E50" t="s">
        <v>30</v>
      </c>
      <c r="F50" t="s">
        <v>40</v>
      </c>
      <c r="G50" t="s">
        <v>41</v>
      </c>
      <c r="H50" s="2">
        <v>45966</v>
      </c>
      <c r="I50" s="3">
        <v>375</v>
      </c>
      <c r="J50">
        <v>6</v>
      </c>
      <c r="K50" t="s">
        <v>20</v>
      </c>
      <c r="L50" t="s">
        <v>32</v>
      </c>
      <c r="M50">
        <v>3</v>
      </c>
    </row>
    <row r="51" spans="1:13">
      <c r="A51" t="s">
        <v>134</v>
      </c>
      <c r="B51" t="s">
        <v>110</v>
      </c>
      <c r="C51" t="s">
        <v>44</v>
      </c>
      <c r="D51" t="s">
        <v>29</v>
      </c>
      <c r="E51" t="s">
        <v>53</v>
      </c>
      <c r="F51" t="s">
        <v>40</v>
      </c>
      <c r="G51" t="s">
        <v>31</v>
      </c>
      <c r="H51" s="2">
        <v>46094</v>
      </c>
      <c r="I51" s="3">
        <v>260</v>
      </c>
      <c r="J51">
        <v>10</v>
      </c>
      <c r="K51" t="s">
        <v>26</v>
      </c>
      <c r="L51" t="s">
        <v>32</v>
      </c>
      <c r="M51">
        <v>3</v>
      </c>
    </row>
    <row r="52" spans="1:13">
      <c r="A52" t="s">
        <v>135</v>
      </c>
      <c r="B52" t="s">
        <v>81</v>
      </c>
      <c r="C52" t="s">
        <v>24</v>
      </c>
      <c r="D52" t="s">
        <v>59</v>
      </c>
      <c r="E52" t="s">
        <v>56</v>
      </c>
      <c r="F52" t="s">
        <v>46</v>
      </c>
      <c r="G52" t="s">
        <v>41</v>
      </c>
      <c r="H52" s="2">
        <v>45322</v>
      </c>
      <c r="I52" s="3">
        <v>430</v>
      </c>
      <c r="J52">
        <v>18</v>
      </c>
      <c r="K52" t="s">
        <v>26</v>
      </c>
      <c r="L52" t="s">
        <v>32</v>
      </c>
      <c r="M52">
        <v>5</v>
      </c>
    </row>
    <row r="53" spans="1:13">
      <c r="A53" t="s">
        <v>136</v>
      </c>
      <c r="B53" t="s">
        <v>137</v>
      </c>
      <c r="C53" t="s">
        <v>15</v>
      </c>
      <c r="D53" t="s">
        <v>45</v>
      </c>
      <c r="E53" t="s">
        <v>39</v>
      </c>
      <c r="F53" t="s">
        <v>18</v>
      </c>
      <c r="G53" t="s">
        <v>41</v>
      </c>
      <c r="H53" s="2">
        <v>45409</v>
      </c>
      <c r="I53" s="3">
        <v>375</v>
      </c>
      <c r="J53">
        <v>20</v>
      </c>
      <c r="K53" t="s">
        <v>26</v>
      </c>
      <c r="L53" t="s">
        <v>50</v>
      </c>
      <c r="M53">
        <v>5</v>
      </c>
    </row>
    <row r="54" spans="1:13">
      <c r="A54" t="s">
        <v>139</v>
      </c>
      <c r="B54" t="s">
        <v>140</v>
      </c>
      <c r="C54" t="s">
        <v>44</v>
      </c>
      <c r="D54" t="s">
        <v>29</v>
      </c>
      <c r="E54" t="s">
        <v>88</v>
      </c>
      <c r="F54" t="s">
        <v>46</v>
      </c>
      <c r="G54" t="s">
        <v>19</v>
      </c>
      <c r="H54" s="2">
        <v>45950</v>
      </c>
      <c r="I54" s="3">
        <v>195</v>
      </c>
      <c r="J54">
        <v>5</v>
      </c>
      <c r="K54" t="s">
        <v>26</v>
      </c>
      <c r="L54" t="s">
        <v>32</v>
      </c>
      <c r="M54">
        <v>5</v>
      </c>
    </row>
    <row r="55" spans="1:13">
      <c r="A55" t="s">
        <v>141</v>
      </c>
      <c r="B55" t="s">
        <v>142</v>
      </c>
      <c r="C55" t="s">
        <v>15</v>
      </c>
      <c r="D55" t="s">
        <v>59</v>
      </c>
      <c r="E55" t="s">
        <v>53</v>
      </c>
      <c r="F55" t="s">
        <v>36</v>
      </c>
      <c r="G55" t="s">
        <v>31</v>
      </c>
      <c r="H55" s="2">
        <v>45645</v>
      </c>
      <c r="I55" s="3">
        <v>615</v>
      </c>
      <c r="J55">
        <v>49</v>
      </c>
      <c r="K55" t="s">
        <v>20</v>
      </c>
      <c r="L55" t="s">
        <v>21</v>
      </c>
      <c r="M55">
        <v>4</v>
      </c>
    </row>
    <row r="56" spans="1:13">
      <c r="A56" t="s">
        <v>143</v>
      </c>
      <c r="B56" t="s">
        <v>144</v>
      </c>
      <c r="C56" t="s">
        <v>24</v>
      </c>
      <c r="D56" t="s">
        <v>49</v>
      </c>
      <c r="E56" t="s">
        <v>56</v>
      </c>
      <c r="F56" t="s">
        <v>46</v>
      </c>
      <c r="G56" t="s">
        <v>19</v>
      </c>
      <c r="H56" s="2">
        <v>45851</v>
      </c>
      <c r="I56" s="3">
        <v>295</v>
      </c>
      <c r="J56">
        <v>16</v>
      </c>
      <c r="K56" t="s">
        <v>26</v>
      </c>
      <c r="L56" t="s">
        <v>32</v>
      </c>
      <c r="M56">
        <v>2</v>
      </c>
    </row>
    <row r="57" spans="1:13">
      <c r="A57" t="s">
        <v>145</v>
      </c>
      <c r="B57" t="s">
        <v>146</v>
      </c>
      <c r="C57" t="s">
        <v>44</v>
      </c>
      <c r="D57" t="s">
        <v>16</v>
      </c>
      <c r="E57" t="s">
        <v>17</v>
      </c>
      <c r="F57" t="s">
        <v>18</v>
      </c>
      <c r="G57" t="s">
        <v>41</v>
      </c>
      <c r="H57" s="2">
        <v>45546</v>
      </c>
      <c r="I57" s="3">
        <v>1145</v>
      </c>
      <c r="J57">
        <v>78</v>
      </c>
      <c r="K57" t="s">
        <v>26</v>
      </c>
      <c r="L57" t="s">
        <v>50</v>
      </c>
      <c r="M57">
        <v>3</v>
      </c>
    </row>
    <row r="58" spans="1:13">
      <c r="A58" t="s">
        <v>147</v>
      </c>
      <c r="B58" t="s">
        <v>148</v>
      </c>
      <c r="C58" t="s">
        <v>24</v>
      </c>
      <c r="D58" t="s">
        <v>25</v>
      </c>
      <c r="E58" t="s">
        <v>39</v>
      </c>
      <c r="F58" t="s">
        <v>46</v>
      </c>
      <c r="G58" t="s">
        <v>31</v>
      </c>
      <c r="H58" s="2">
        <v>45584</v>
      </c>
      <c r="I58" s="3">
        <v>230</v>
      </c>
      <c r="J58">
        <v>14</v>
      </c>
      <c r="K58" t="s">
        <v>26</v>
      </c>
      <c r="L58" t="s">
        <v>32</v>
      </c>
      <c r="M58">
        <v>4</v>
      </c>
    </row>
    <row r="59" spans="1:13">
      <c r="A59" t="s">
        <v>149</v>
      </c>
      <c r="B59" t="s">
        <v>94</v>
      </c>
      <c r="C59" t="s">
        <v>24</v>
      </c>
      <c r="D59" t="s">
        <v>16</v>
      </c>
      <c r="E59" t="s">
        <v>56</v>
      </c>
      <c r="F59" t="s">
        <v>60</v>
      </c>
      <c r="G59" t="s">
        <v>19</v>
      </c>
      <c r="H59" s="2">
        <v>45604</v>
      </c>
      <c r="I59" s="3">
        <v>200</v>
      </c>
      <c r="J59">
        <v>3</v>
      </c>
      <c r="K59" t="s">
        <v>26</v>
      </c>
      <c r="L59" t="s">
        <v>32</v>
      </c>
      <c r="M59">
        <v>4</v>
      </c>
    </row>
    <row r="60" spans="1:13">
      <c r="A60" t="s">
        <v>150</v>
      </c>
      <c r="B60" t="s">
        <v>151</v>
      </c>
      <c r="C60" t="s">
        <v>15</v>
      </c>
      <c r="D60" t="s">
        <v>49</v>
      </c>
      <c r="E60" t="s">
        <v>30</v>
      </c>
      <c r="F60" t="s">
        <v>18</v>
      </c>
      <c r="G60" t="s">
        <v>31</v>
      </c>
      <c r="H60" s="2">
        <v>46056</v>
      </c>
      <c r="I60" s="3">
        <v>130</v>
      </c>
      <c r="J60">
        <v>5</v>
      </c>
      <c r="K60" t="s">
        <v>26</v>
      </c>
      <c r="L60" t="s">
        <v>50</v>
      </c>
      <c r="M60">
        <v>3</v>
      </c>
    </row>
    <row r="61" spans="1:13">
      <c r="A61" t="s">
        <v>152</v>
      </c>
      <c r="B61" t="s">
        <v>153</v>
      </c>
      <c r="C61" t="s">
        <v>15</v>
      </c>
      <c r="D61" t="s">
        <v>45</v>
      </c>
      <c r="E61" t="s">
        <v>17</v>
      </c>
      <c r="F61" t="s">
        <v>18</v>
      </c>
      <c r="G61" t="s">
        <v>19</v>
      </c>
      <c r="H61" s="2">
        <v>45426</v>
      </c>
      <c r="I61" s="3">
        <v>250</v>
      </c>
      <c r="J61">
        <v>7</v>
      </c>
      <c r="K61" t="s">
        <v>20</v>
      </c>
      <c r="L61" t="s">
        <v>32</v>
      </c>
      <c r="M61">
        <v>3</v>
      </c>
    </row>
    <row r="62" spans="1:13">
      <c r="A62" t="s">
        <v>154</v>
      </c>
      <c r="B62" t="s">
        <v>155</v>
      </c>
      <c r="C62" t="s">
        <v>44</v>
      </c>
      <c r="D62" t="s">
        <v>16</v>
      </c>
      <c r="E62" t="s">
        <v>39</v>
      </c>
      <c r="F62" t="s">
        <v>40</v>
      </c>
      <c r="G62" t="s">
        <v>19</v>
      </c>
      <c r="H62" s="2">
        <v>45511</v>
      </c>
      <c r="I62" s="3">
        <v>235</v>
      </c>
      <c r="J62">
        <v>5</v>
      </c>
      <c r="K62" t="s">
        <v>26</v>
      </c>
      <c r="L62" t="s">
        <v>32</v>
      </c>
      <c r="M62">
        <v>3</v>
      </c>
    </row>
    <row r="63" spans="1:13">
      <c r="A63" t="s">
        <v>156</v>
      </c>
      <c r="B63" t="s">
        <v>62</v>
      </c>
      <c r="C63" t="s">
        <v>24</v>
      </c>
      <c r="D63" t="s">
        <v>25</v>
      </c>
      <c r="E63" t="s">
        <v>88</v>
      </c>
      <c r="F63" t="s">
        <v>46</v>
      </c>
      <c r="G63" t="s">
        <v>31</v>
      </c>
      <c r="H63" s="2">
        <v>45562</v>
      </c>
      <c r="I63" s="3">
        <v>85</v>
      </c>
      <c r="J63">
        <v>2</v>
      </c>
      <c r="K63" t="s">
        <v>26</v>
      </c>
      <c r="L63" t="s">
        <v>32</v>
      </c>
      <c r="M63">
        <v>2</v>
      </c>
    </row>
    <row r="64" spans="1:13">
      <c r="A64" t="s">
        <v>157</v>
      </c>
      <c r="B64" t="s">
        <v>158</v>
      </c>
      <c r="C64" t="s">
        <v>24</v>
      </c>
      <c r="D64" t="s">
        <v>16</v>
      </c>
      <c r="E64" t="s">
        <v>53</v>
      </c>
      <c r="F64" t="s">
        <v>40</v>
      </c>
      <c r="G64" t="s">
        <v>31</v>
      </c>
      <c r="H64" s="2">
        <v>45696</v>
      </c>
      <c r="I64" s="3">
        <v>190</v>
      </c>
      <c r="J64">
        <v>19</v>
      </c>
      <c r="K64" t="s">
        <v>26</v>
      </c>
      <c r="L64" t="s">
        <v>32</v>
      </c>
      <c r="M64">
        <v>4</v>
      </c>
    </row>
    <row r="65" spans="1:13">
      <c r="A65" t="s">
        <v>159</v>
      </c>
      <c r="B65" t="s">
        <v>160</v>
      </c>
      <c r="C65" t="s">
        <v>15</v>
      </c>
      <c r="D65" t="s">
        <v>16</v>
      </c>
      <c r="E65" t="s">
        <v>53</v>
      </c>
      <c r="F65" t="s">
        <v>36</v>
      </c>
      <c r="G65" t="s">
        <v>41</v>
      </c>
      <c r="H65" s="2">
        <v>45829</v>
      </c>
      <c r="I65" s="3">
        <v>825</v>
      </c>
      <c r="J65">
        <v>60</v>
      </c>
      <c r="K65" t="s">
        <v>26</v>
      </c>
      <c r="L65" t="s">
        <v>21</v>
      </c>
      <c r="M65">
        <v>5</v>
      </c>
    </row>
    <row r="66" spans="1:13">
      <c r="A66" t="s">
        <v>161</v>
      </c>
      <c r="B66" t="s">
        <v>131</v>
      </c>
      <c r="C66" t="s">
        <v>35</v>
      </c>
      <c r="D66" t="s">
        <v>45</v>
      </c>
      <c r="E66" t="s">
        <v>88</v>
      </c>
      <c r="F66" t="s">
        <v>46</v>
      </c>
      <c r="G66" t="s">
        <v>19</v>
      </c>
      <c r="H66" s="2">
        <v>45958</v>
      </c>
      <c r="I66" s="3">
        <v>135</v>
      </c>
      <c r="J66">
        <v>3</v>
      </c>
      <c r="K66" t="s">
        <v>26</v>
      </c>
      <c r="L66" t="s">
        <v>32</v>
      </c>
      <c r="M66">
        <v>3</v>
      </c>
    </row>
    <row r="67" spans="1:13">
      <c r="A67" t="s">
        <v>162</v>
      </c>
      <c r="B67" t="s">
        <v>160</v>
      </c>
      <c r="C67" t="s">
        <v>24</v>
      </c>
      <c r="D67" t="s">
        <v>25</v>
      </c>
      <c r="E67" t="s">
        <v>53</v>
      </c>
      <c r="F67" t="s">
        <v>60</v>
      </c>
      <c r="G67" t="s">
        <v>41</v>
      </c>
      <c r="H67" s="2">
        <v>45563</v>
      </c>
      <c r="I67" s="3">
        <v>450</v>
      </c>
      <c r="J67">
        <v>13</v>
      </c>
      <c r="K67" t="s">
        <v>26</v>
      </c>
      <c r="L67" t="s">
        <v>32</v>
      </c>
      <c r="M67">
        <v>4</v>
      </c>
    </row>
    <row r="68" spans="1:13">
      <c r="A68" t="s">
        <v>163</v>
      </c>
      <c r="B68" t="s">
        <v>164</v>
      </c>
      <c r="C68" t="s">
        <v>35</v>
      </c>
      <c r="D68" t="s">
        <v>16</v>
      </c>
      <c r="E68" t="s">
        <v>56</v>
      </c>
      <c r="F68" t="s">
        <v>36</v>
      </c>
      <c r="G68" t="s">
        <v>41</v>
      </c>
      <c r="H68" s="2">
        <v>46128</v>
      </c>
      <c r="I68" s="3">
        <v>580</v>
      </c>
      <c r="J68">
        <v>35</v>
      </c>
      <c r="K68" t="s">
        <v>26</v>
      </c>
      <c r="L68" t="s">
        <v>50</v>
      </c>
      <c r="M68">
        <v>4</v>
      </c>
    </row>
    <row r="69" spans="1:13">
      <c r="A69" t="s">
        <v>165</v>
      </c>
      <c r="B69" t="s">
        <v>52</v>
      </c>
      <c r="C69" t="s">
        <v>44</v>
      </c>
      <c r="D69" t="s">
        <v>45</v>
      </c>
      <c r="E69" t="s">
        <v>88</v>
      </c>
      <c r="F69" t="s">
        <v>60</v>
      </c>
      <c r="G69" t="s">
        <v>19</v>
      </c>
      <c r="H69" s="2">
        <v>45558</v>
      </c>
      <c r="I69" s="3">
        <v>200</v>
      </c>
      <c r="J69">
        <v>3</v>
      </c>
      <c r="K69" t="s">
        <v>26</v>
      </c>
      <c r="L69" t="s">
        <v>32</v>
      </c>
      <c r="M69">
        <v>2</v>
      </c>
    </row>
    <row r="70" spans="1:13">
      <c r="A70" t="s">
        <v>166</v>
      </c>
      <c r="B70" t="s">
        <v>167</v>
      </c>
      <c r="C70" t="s">
        <v>24</v>
      </c>
      <c r="D70" t="s">
        <v>29</v>
      </c>
      <c r="E70" t="s">
        <v>53</v>
      </c>
      <c r="F70" t="s">
        <v>60</v>
      </c>
      <c r="G70" t="s">
        <v>31</v>
      </c>
      <c r="H70" s="2">
        <v>46131</v>
      </c>
      <c r="I70" s="3">
        <v>165</v>
      </c>
      <c r="J70">
        <v>9</v>
      </c>
      <c r="K70" t="s">
        <v>26</v>
      </c>
      <c r="L70" t="s">
        <v>32</v>
      </c>
      <c r="M70">
        <v>4</v>
      </c>
    </row>
    <row r="71" spans="1:13">
      <c r="A71" t="s">
        <v>168</v>
      </c>
      <c r="B71" t="s">
        <v>169</v>
      </c>
      <c r="C71" t="s">
        <v>24</v>
      </c>
      <c r="D71" t="s">
        <v>16</v>
      </c>
      <c r="E71" t="s">
        <v>88</v>
      </c>
      <c r="F71" t="s">
        <v>46</v>
      </c>
      <c r="G71" t="s">
        <v>19</v>
      </c>
      <c r="H71" s="2">
        <v>45834</v>
      </c>
      <c r="I71" s="3">
        <v>150</v>
      </c>
      <c r="J71">
        <v>2</v>
      </c>
      <c r="K71" t="s">
        <v>26</v>
      </c>
      <c r="L71" t="s">
        <v>21</v>
      </c>
      <c r="M71">
        <v>5</v>
      </c>
    </row>
    <row r="72" spans="1:13">
      <c r="A72" t="s">
        <v>170</v>
      </c>
      <c r="B72" t="s">
        <v>55</v>
      </c>
      <c r="C72" t="s">
        <v>15</v>
      </c>
      <c r="D72" t="s">
        <v>29</v>
      </c>
      <c r="E72" t="s">
        <v>88</v>
      </c>
      <c r="F72" t="s">
        <v>40</v>
      </c>
      <c r="G72" t="s">
        <v>41</v>
      </c>
      <c r="H72" s="2">
        <v>46107</v>
      </c>
      <c r="I72" s="3">
        <v>310</v>
      </c>
      <c r="J72">
        <v>3</v>
      </c>
      <c r="K72" t="s">
        <v>20</v>
      </c>
      <c r="L72" t="s">
        <v>32</v>
      </c>
      <c r="M72">
        <v>2</v>
      </c>
    </row>
    <row r="73" spans="1:13">
      <c r="A73" t="s">
        <v>171</v>
      </c>
      <c r="B73" t="s">
        <v>172</v>
      </c>
      <c r="C73" t="s">
        <v>24</v>
      </c>
      <c r="D73" t="s">
        <v>59</v>
      </c>
      <c r="E73" t="s">
        <v>56</v>
      </c>
      <c r="F73" t="s">
        <v>46</v>
      </c>
      <c r="G73" t="s">
        <v>31</v>
      </c>
      <c r="H73" s="2">
        <v>45657</v>
      </c>
      <c r="I73" s="3">
        <v>230</v>
      </c>
      <c r="J73">
        <v>17</v>
      </c>
      <c r="K73" t="s">
        <v>26</v>
      </c>
      <c r="L73" t="s">
        <v>50</v>
      </c>
      <c r="M73">
        <v>5</v>
      </c>
    </row>
    <row r="74" spans="1:13">
      <c r="A74" t="s">
        <v>173</v>
      </c>
      <c r="B74" t="s">
        <v>34</v>
      </c>
      <c r="C74" t="s">
        <v>44</v>
      </c>
      <c r="D74" t="s">
        <v>25</v>
      </c>
      <c r="E74" t="s">
        <v>53</v>
      </c>
      <c r="F74" t="s">
        <v>46</v>
      </c>
      <c r="G74" t="s">
        <v>31</v>
      </c>
      <c r="H74" s="2">
        <v>45758</v>
      </c>
      <c r="I74" s="3">
        <v>270</v>
      </c>
      <c r="J74">
        <v>14</v>
      </c>
      <c r="K74" t="s">
        <v>26</v>
      </c>
      <c r="L74" t="s">
        <v>21</v>
      </c>
      <c r="M74">
        <v>4</v>
      </c>
    </row>
    <row r="75" spans="1:13">
      <c r="A75" t="s">
        <v>174</v>
      </c>
      <c r="B75" t="s">
        <v>175</v>
      </c>
      <c r="C75" t="s">
        <v>15</v>
      </c>
      <c r="D75" t="s">
        <v>29</v>
      </c>
      <c r="E75" t="s">
        <v>30</v>
      </c>
      <c r="F75" t="s">
        <v>36</v>
      </c>
      <c r="G75" t="s">
        <v>41</v>
      </c>
      <c r="H75" s="2">
        <v>45752</v>
      </c>
      <c r="I75" s="3">
        <v>1090</v>
      </c>
      <c r="J75">
        <v>65</v>
      </c>
      <c r="K75" t="s">
        <v>26</v>
      </c>
      <c r="L75" t="s">
        <v>21</v>
      </c>
      <c r="M75">
        <v>3</v>
      </c>
    </row>
    <row r="76" spans="1:13">
      <c r="A76" t="s">
        <v>176</v>
      </c>
      <c r="B76" t="s">
        <v>177</v>
      </c>
      <c r="C76" t="s">
        <v>35</v>
      </c>
      <c r="D76" t="s">
        <v>16</v>
      </c>
      <c r="E76" t="s">
        <v>30</v>
      </c>
      <c r="F76" t="s">
        <v>46</v>
      </c>
      <c r="G76" t="s">
        <v>19</v>
      </c>
      <c r="H76" s="2">
        <v>46028</v>
      </c>
      <c r="I76" s="3">
        <v>170</v>
      </c>
      <c r="J76">
        <v>5</v>
      </c>
      <c r="K76" t="s">
        <v>26</v>
      </c>
      <c r="L76" t="s">
        <v>32</v>
      </c>
      <c r="M76">
        <v>5</v>
      </c>
    </row>
    <row r="77" spans="1:13">
      <c r="A77" t="s">
        <v>178</v>
      </c>
      <c r="B77" t="s">
        <v>179</v>
      </c>
      <c r="C77" t="s">
        <v>35</v>
      </c>
      <c r="D77" t="s">
        <v>45</v>
      </c>
      <c r="E77" t="s">
        <v>88</v>
      </c>
      <c r="F77" t="s">
        <v>46</v>
      </c>
      <c r="G77" t="s">
        <v>31</v>
      </c>
      <c r="H77" s="2">
        <v>45373</v>
      </c>
      <c r="I77" s="3">
        <v>95</v>
      </c>
      <c r="J77">
        <v>3</v>
      </c>
      <c r="K77" t="s">
        <v>26</v>
      </c>
      <c r="L77" t="s">
        <v>32</v>
      </c>
      <c r="M77">
        <v>3</v>
      </c>
    </row>
    <row r="78" spans="1:13">
      <c r="A78" t="s">
        <v>180</v>
      </c>
      <c r="B78" t="s">
        <v>58</v>
      </c>
      <c r="C78" t="s">
        <v>44</v>
      </c>
      <c r="D78" t="s">
        <v>59</v>
      </c>
      <c r="E78" t="s">
        <v>53</v>
      </c>
      <c r="F78" t="s">
        <v>18</v>
      </c>
      <c r="G78" t="s">
        <v>41</v>
      </c>
      <c r="H78" s="2">
        <v>45311</v>
      </c>
      <c r="I78" s="3">
        <v>745</v>
      </c>
      <c r="J78">
        <v>80</v>
      </c>
      <c r="K78" t="s">
        <v>26</v>
      </c>
      <c r="L78" t="s">
        <v>32</v>
      </c>
      <c r="M78">
        <v>4</v>
      </c>
    </row>
    <row r="79" spans="1:13">
      <c r="A79" t="s">
        <v>181</v>
      </c>
      <c r="B79" t="s">
        <v>182</v>
      </c>
      <c r="C79" t="s">
        <v>24</v>
      </c>
      <c r="D79" t="s">
        <v>25</v>
      </c>
      <c r="E79" t="s">
        <v>39</v>
      </c>
      <c r="F79" t="s">
        <v>40</v>
      </c>
      <c r="G79" t="s">
        <v>41</v>
      </c>
      <c r="H79" s="2">
        <v>46148</v>
      </c>
      <c r="I79" s="3">
        <v>350</v>
      </c>
      <c r="J79">
        <v>4</v>
      </c>
      <c r="K79" t="s">
        <v>26</v>
      </c>
      <c r="L79" t="s">
        <v>50</v>
      </c>
      <c r="M79">
        <v>2</v>
      </c>
    </row>
    <row r="80" spans="1:13">
      <c r="A80" t="s">
        <v>183</v>
      </c>
      <c r="B80" t="s">
        <v>184</v>
      </c>
      <c r="C80" t="s">
        <v>24</v>
      </c>
      <c r="D80" t="s">
        <v>16</v>
      </c>
      <c r="E80" t="s">
        <v>30</v>
      </c>
      <c r="F80" t="s">
        <v>40</v>
      </c>
      <c r="G80" t="s">
        <v>19</v>
      </c>
      <c r="H80" s="2">
        <v>45719</v>
      </c>
      <c r="I80" s="3">
        <v>340</v>
      </c>
      <c r="J80">
        <v>25</v>
      </c>
      <c r="K80" t="s">
        <v>26</v>
      </c>
      <c r="L80" t="s">
        <v>32</v>
      </c>
      <c r="M80">
        <v>2</v>
      </c>
    </row>
    <row r="81" spans="1:13">
      <c r="A81" t="s">
        <v>185</v>
      </c>
      <c r="B81" t="s">
        <v>55</v>
      </c>
      <c r="C81" t="s">
        <v>35</v>
      </c>
      <c r="D81" t="s">
        <v>29</v>
      </c>
      <c r="E81" t="s">
        <v>17</v>
      </c>
      <c r="F81" t="s">
        <v>60</v>
      </c>
      <c r="G81" t="s">
        <v>41</v>
      </c>
      <c r="H81" s="2">
        <v>45296</v>
      </c>
      <c r="I81" s="3">
        <v>540</v>
      </c>
      <c r="J81">
        <v>21</v>
      </c>
      <c r="K81" t="s">
        <v>20</v>
      </c>
      <c r="L81" t="s">
        <v>32</v>
      </c>
      <c r="M81">
        <v>5</v>
      </c>
    </row>
    <row r="82" spans="1:13">
      <c r="A82" t="s">
        <v>186</v>
      </c>
      <c r="B82" t="s">
        <v>187</v>
      </c>
      <c r="C82" t="s">
        <v>44</v>
      </c>
      <c r="D82" t="s">
        <v>59</v>
      </c>
      <c r="E82" t="s">
        <v>30</v>
      </c>
      <c r="F82" t="s">
        <v>60</v>
      </c>
      <c r="G82" t="s">
        <v>31</v>
      </c>
      <c r="H82" s="2">
        <v>45907</v>
      </c>
      <c r="I82" s="3">
        <v>125</v>
      </c>
      <c r="J82">
        <v>7</v>
      </c>
      <c r="K82" t="s">
        <v>26</v>
      </c>
      <c r="L82" t="s">
        <v>21</v>
      </c>
      <c r="M82">
        <v>3</v>
      </c>
    </row>
    <row r="83" spans="1:13">
      <c r="A83" t="s">
        <v>188</v>
      </c>
      <c r="B83" t="s">
        <v>189</v>
      </c>
      <c r="C83" t="s">
        <v>24</v>
      </c>
      <c r="D83" t="s">
        <v>45</v>
      </c>
      <c r="E83" t="s">
        <v>30</v>
      </c>
      <c r="F83" t="s">
        <v>40</v>
      </c>
      <c r="G83" t="s">
        <v>31</v>
      </c>
      <c r="H83" s="2">
        <v>46029</v>
      </c>
      <c r="I83" s="3">
        <v>200</v>
      </c>
      <c r="J83">
        <v>7</v>
      </c>
      <c r="K83" t="s">
        <v>20</v>
      </c>
      <c r="L83" t="s">
        <v>50</v>
      </c>
      <c r="M83">
        <v>3</v>
      </c>
    </row>
    <row r="84" spans="1:13">
      <c r="A84" t="s">
        <v>190</v>
      </c>
      <c r="B84" t="s">
        <v>191</v>
      </c>
      <c r="C84" t="s">
        <v>35</v>
      </c>
      <c r="D84" t="s">
        <v>59</v>
      </c>
      <c r="E84" t="s">
        <v>56</v>
      </c>
      <c r="F84" t="s">
        <v>46</v>
      </c>
      <c r="G84" t="s">
        <v>19</v>
      </c>
      <c r="H84" s="2">
        <v>45838</v>
      </c>
      <c r="I84" s="3">
        <v>195</v>
      </c>
      <c r="J84">
        <v>6</v>
      </c>
      <c r="K84" t="s">
        <v>26</v>
      </c>
      <c r="L84" t="s">
        <v>21</v>
      </c>
      <c r="M84">
        <v>3</v>
      </c>
    </row>
    <row r="85" spans="1:13">
      <c r="A85" t="s">
        <v>192</v>
      </c>
      <c r="B85" t="s">
        <v>193</v>
      </c>
      <c r="C85" t="s">
        <v>15</v>
      </c>
      <c r="D85" t="s">
        <v>59</v>
      </c>
      <c r="E85" t="s">
        <v>88</v>
      </c>
      <c r="F85" t="s">
        <v>36</v>
      </c>
      <c r="G85" t="s">
        <v>19</v>
      </c>
      <c r="H85" s="2">
        <v>46057</v>
      </c>
      <c r="I85" s="3">
        <v>1270</v>
      </c>
      <c r="J85">
        <v>78</v>
      </c>
      <c r="K85" t="s">
        <v>26</v>
      </c>
      <c r="L85" t="s">
        <v>50</v>
      </c>
      <c r="M85">
        <v>2</v>
      </c>
    </row>
    <row r="86" spans="1:13">
      <c r="A86" t="s">
        <v>194</v>
      </c>
      <c r="B86" t="s">
        <v>182</v>
      </c>
      <c r="C86" t="s">
        <v>15</v>
      </c>
      <c r="D86" t="s">
        <v>49</v>
      </c>
      <c r="E86" t="s">
        <v>30</v>
      </c>
      <c r="F86" t="s">
        <v>18</v>
      </c>
      <c r="G86" t="s">
        <v>41</v>
      </c>
      <c r="H86" s="2">
        <v>46083</v>
      </c>
      <c r="I86" s="3">
        <v>580</v>
      </c>
      <c r="J86">
        <v>50</v>
      </c>
      <c r="K86" t="s">
        <v>26</v>
      </c>
      <c r="L86" t="s">
        <v>21</v>
      </c>
      <c r="M86">
        <v>4</v>
      </c>
    </row>
    <row r="87" spans="1:13">
      <c r="A87" t="s">
        <v>195</v>
      </c>
      <c r="B87" t="s">
        <v>196</v>
      </c>
      <c r="C87" t="s">
        <v>24</v>
      </c>
      <c r="D87" t="s">
        <v>25</v>
      </c>
      <c r="E87" t="s">
        <v>88</v>
      </c>
      <c r="F87" t="s">
        <v>46</v>
      </c>
      <c r="G87" t="s">
        <v>41</v>
      </c>
      <c r="H87" s="2">
        <v>46013</v>
      </c>
      <c r="I87" s="3">
        <v>300</v>
      </c>
      <c r="J87">
        <v>22</v>
      </c>
      <c r="K87" t="s">
        <v>26</v>
      </c>
      <c r="L87" t="s">
        <v>32</v>
      </c>
      <c r="M87">
        <v>3</v>
      </c>
    </row>
    <row r="88" spans="1:13">
      <c r="A88" t="s">
        <v>197</v>
      </c>
      <c r="B88" t="s">
        <v>198</v>
      </c>
      <c r="C88" t="s">
        <v>44</v>
      </c>
      <c r="D88" t="s">
        <v>16</v>
      </c>
      <c r="E88" t="s">
        <v>17</v>
      </c>
      <c r="F88" t="s">
        <v>60</v>
      </c>
      <c r="G88" t="s">
        <v>19</v>
      </c>
      <c r="H88" s="2">
        <v>45730</v>
      </c>
      <c r="I88" s="3">
        <v>410</v>
      </c>
      <c r="J88">
        <v>16</v>
      </c>
      <c r="K88" t="s">
        <v>26</v>
      </c>
      <c r="L88" t="s">
        <v>21</v>
      </c>
      <c r="M88">
        <v>2</v>
      </c>
    </row>
    <row r="89" spans="1:13">
      <c r="A89" t="s">
        <v>199</v>
      </c>
      <c r="B89" t="s">
        <v>191</v>
      </c>
      <c r="C89" t="s">
        <v>35</v>
      </c>
      <c r="D89" t="s">
        <v>16</v>
      </c>
      <c r="E89" t="s">
        <v>53</v>
      </c>
      <c r="F89" t="s">
        <v>36</v>
      </c>
      <c r="G89" t="s">
        <v>41</v>
      </c>
      <c r="H89" s="2">
        <v>45402</v>
      </c>
      <c r="I89" s="3">
        <v>1105</v>
      </c>
      <c r="J89">
        <v>44</v>
      </c>
      <c r="K89" t="s">
        <v>26</v>
      </c>
      <c r="L89" t="s">
        <v>21</v>
      </c>
      <c r="M89">
        <v>5</v>
      </c>
    </row>
    <row r="90" spans="1:13">
      <c r="A90" t="s">
        <v>200</v>
      </c>
      <c r="B90" t="s">
        <v>125</v>
      </c>
      <c r="C90" t="s">
        <v>24</v>
      </c>
      <c r="D90" t="s">
        <v>29</v>
      </c>
      <c r="E90" t="s">
        <v>30</v>
      </c>
      <c r="F90" t="s">
        <v>18</v>
      </c>
      <c r="G90" t="s">
        <v>41</v>
      </c>
      <c r="H90" s="2">
        <v>45405</v>
      </c>
      <c r="I90" s="3">
        <v>495</v>
      </c>
      <c r="J90">
        <v>56</v>
      </c>
      <c r="K90" t="s">
        <v>26</v>
      </c>
      <c r="L90" t="s">
        <v>50</v>
      </c>
      <c r="M90">
        <v>4</v>
      </c>
    </row>
    <row r="91" spans="1:13">
      <c r="A91" t="s">
        <v>201</v>
      </c>
      <c r="B91" t="s">
        <v>202</v>
      </c>
      <c r="C91" t="s">
        <v>24</v>
      </c>
      <c r="D91" t="s">
        <v>49</v>
      </c>
      <c r="E91" t="s">
        <v>30</v>
      </c>
      <c r="F91" t="s">
        <v>60</v>
      </c>
      <c r="G91" t="s">
        <v>41</v>
      </c>
      <c r="H91" s="2">
        <v>45408</v>
      </c>
      <c r="I91" s="3">
        <v>630</v>
      </c>
      <c r="J91">
        <v>24</v>
      </c>
      <c r="K91" t="s">
        <v>26</v>
      </c>
      <c r="L91" t="s">
        <v>50</v>
      </c>
      <c r="M91">
        <v>3</v>
      </c>
    </row>
    <row r="92" spans="1:13">
      <c r="A92" t="s">
        <v>203</v>
      </c>
      <c r="B92" t="s">
        <v>204</v>
      </c>
      <c r="C92" t="s">
        <v>44</v>
      </c>
      <c r="D92" t="s">
        <v>49</v>
      </c>
      <c r="E92" t="s">
        <v>56</v>
      </c>
      <c r="F92" t="s">
        <v>46</v>
      </c>
      <c r="G92" t="s">
        <v>31</v>
      </c>
      <c r="H92" s="2">
        <v>46128</v>
      </c>
      <c r="I92" s="3">
        <v>155</v>
      </c>
      <c r="J92">
        <v>21</v>
      </c>
      <c r="K92" t="s">
        <v>20</v>
      </c>
      <c r="L92" t="s">
        <v>32</v>
      </c>
      <c r="M92">
        <v>3</v>
      </c>
    </row>
    <row r="93" spans="1:13">
      <c r="A93" t="s">
        <v>205</v>
      </c>
      <c r="B93" t="s">
        <v>191</v>
      </c>
      <c r="C93" t="s">
        <v>24</v>
      </c>
      <c r="D93" t="s">
        <v>29</v>
      </c>
      <c r="E93" t="s">
        <v>39</v>
      </c>
      <c r="F93" t="s">
        <v>60</v>
      </c>
      <c r="G93" t="s">
        <v>41</v>
      </c>
      <c r="H93" s="2">
        <v>45686</v>
      </c>
      <c r="I93" s="3">
        <v>400</v>
      </c>
      <c r="J93">
        <v>24</v>
      </c>
      <c r="K93" t="s">
        <v>20</v>
      </c>
      <c r="L93" t="s">
        <v>21</v>
      </c>
      <c r="M93">
        <v>4</v>
      </c>
    </row>
    <row r="94" spans="1:13">
      <c r="A94" t="s">
        <v>206</v>
      </c>
      <c r="B94" t="s">
        <v>196</v>
      </c>
      <c r="C94" t="s">
        <v>44</v>
      </c>
      <c r="D94" t="s">
        <v>25</v>
      </c>
      <c r="E94" t="s">
        <v>88</v>
      </c>
      <c r="F94" t="s">
        <v>18</v>
      </c>
      <c r="G94" t="s">
        <v>19</v>
      </c>
      <c r="H94" s="2">
        <v>45570</v>
      </c>
      <c r="I94" s="3">
        <v>1005</v>
      </c>
      <c r="J94">
        <v>53</v>
      </c>
      <c r="K94" t="s">
        <v>26</v>
      </c>
      <c r="L94" t="s">
        <v>32</v>
      </c>
      <c r="M94">
        <v>2</v>
      </c>
    </row>
    <row r="95" spans="1:13">
      <c r="A95" t="s">
        <v>207</v>
      </c>
      <c r="B95" t="s">
        <v>208</v>
      </c>
      <c r="C95" t="s">
        <v>44</v>
      </c>
      <c r="D95" t="s">
        <v>59</v>
      </c>
      <c r="E95" t="s">
        <v>53</v>
      </c>
      <c r="F95" t="s">
        <v>40</v>
      </c>
      <c r="G95" t="s">
        <v>41</v>
      </c>
      <c r="H95" s="2">
        <v>45362</v>
      </c>
      <c r="I95" s="3">
        <v>325</v>
      </c>
      <c r="J95">
        <v>4</v>
      </c>
      <c r="K95" t="s">
        <v>26</v>
      </c>
      <c r="L95" t="s">
        <v>32</v>
      </c>
      <c r="M95">
        <v>4</v>
      </c>
    </row>
    <row r="96" spans="1:13">
      <c r="A96" t="s">
        <v>209</v>
      </c>
      <c r="B96" t="s">
        <v>210</v>
      </c>
      <c r="C96" t="s">
        <v>15</v>
      </c>
      <c r="D96" t="s">
        <v>16</v>
      </c>
      <c r="E96" t="s">
        <v>30</v>
      </c>
      <c r="F96" t="s">
        <v>60</v>
      </c>
      <c r="G96" t="s">
        <v>19</v>
      </c>
      <c r="H96" s="2">
        <v>45890</v>
      </c>
      <c r="I96" s="3">
        <v>355</v>
      </c>
      <c r="J96">
        <v>16</v>
      </c>
      <c r="K96" t="s">
        <v>26</v>
      </c>
      <c r="L96" t="s">
        <v>32</v>
      </c>
      <c r="M96">
        <v>2</v>
      </c>
    </row>
    <row r="97" spans="1:13">
      <c r="A97" t="s">
        <v>211</v>
      </c>
      <c r="B97" t="s">
        <v>212</v>
      </c>
      <c r="C97" t="s">
        <v>15</v>
      </c>
      <c r="D97" t="s">
        <v>25</v>
      </c>
      <c r="E97" t="s">
        <v>53</v>
      </c>
      <c r="F97" t="s">
        <v>40</v>
      </c>
      <c r="G97" t="s">
        <v>19</v>
      </c>
      <c r="H97" s="2">
        <v>45898</v>
      </c>
      <c r="I97" s="3">
        <v>245</v>
      </c>
      <c r="J97">
        <v>6</v>
      </c>
      <c r="K97" t="s">
        <v>20</v>
      </c>
      <c r="L97" t="s">
        <v>32</v>
      </c>
      <c r="M97">
        <v>4</v>
      </c>
    </row>
    <row r="98" spans="1:13">
      <c r="A98" t="s">
        <v>213</v>
      </c>
      <c r="B98" t="s">
        <v>214</v>
      </c>
      <c r="C98" t="s">
        <v>44</v>
      </c>
      <c r="D98" t="s">
        <v>25</v>
      </c>
      <c r="E98" t="s">
        <v>88</v>
      </c>
      <c r="F98" t="s">
        <v>40</v>
      </c>
      <c r="G98" t="s">
        <v>41</v>
      </c>
      <c r="H98" s="2">
        <v>45757</v>
      </c>
      <c r="I98" s="3">
        <v>565</v>
      </c>
      <c r="J98">
        <v>18</v>
      </c>
      <c r="K98" t="s">
        <v>20</v>
      </c>
      <c r="L98" t="s">
        <v>21</v>
      </c>
      <c r="M98">
        <v>2</v>
      </c>
    </row>
    <row r="99" spans="1:13">
      <c r="A99" t="s">
        <v>215</v>
      </c>
      <c r="B99" t="s">
        <v>216</v>
      </c>
      <c r="C99" t="s">
        <v>24</v>
      </c>
      <c r="D99" t="s">
        <v>45</v>
      </c>
      <c r="E99" t="s">
        <v>17</v>
      </c>
      <c r="F99" t="s">
        <v>18</v>
      </c>
      <c r="G99" t="s">
        <v>41</v>
      </c>
      <c r="H99" s="2">
        <v>45827</v>
      </c>
      <c r="I99" s="3">
        <v>520</v>
      </c>
      <c r="J99">
        <v>21</v>
      </c>
      <c r="K99" t="s">
        <v>20</v>
      </c>
      <c r="L99" t="s">
        <v>32</v>
      </c>
      <c r="M99">
        <v>5</v>
      </c>
    </row>
    <row r="100" spans="1:13">
      <c r="A100" t="s">
        <v>217</v>
      </c>
      <c r="B100" t="s">
        <v>52</v>
      </c>
      <c r="C100" t="s">
        <v>44</v>
      </c>
      <c r="D100" t="s">
        <v>49</v>
      </c>
      <c r="E100" t="s">
        <v>39</v>
      </c>
      <c r="F100" t="s">
        <v>40</v>
      </c>
      <c r="G100" t="s">
        <v>31</v>
      </c>
      <c r="H100" s="2">
        <v>45551</v>
      </c>
      <c r="I100" s="3">
        <v>265</v>
      </c>
      <c r="J100">
        <v>12</v>
      </c>
      <c r="K100" t="s">
        <v>26</v>
      </c>
      <c r="L100" t="s">
        <v>32</v>
      </c>
      <c r="M100">
        <v>5</v>
      </c>
    </row>
    <row r="101" spans="1:13">
      <c r="A101" t="s">
        <v>218</v>
      </c>
      <c r="B101" t="s">
        <v>100</v>
      </c>
      <c r="C101" t="s">
        <v>15</v>
      </c>
      <c r="D101" t="s">
        <v>45</v>
      </c>
      <c r="E101" t="s">
        <v>88</v>
      </c>
      <c r="F101" t="s">
        <v>60</v>
      </c>
      <c r="G101" t="s">
        <v>41</v>
      </c>
      <c r="H101" s="2">
        <v>46093</v>
      </c>
      <c r="I101" s="3">
        <v>445</v>
      </c>
      <c r="J101">
        <v>15</v>
      </c>
      <c r="K101" t="s">
        <v>20</v>
      </c>
      <c r="L101" t="s">
        <v>32</v>
      </c>
      <c r="M101">
        <v>4</v>
      </c>
    </row>
    <row r="102" spans="1:13">
      <c r="A102" t="s">
        <v>219</v>
      </c>
      <c r="B102" t="s">
        <v>220</v>
      </c>
      <c r="C102" t="s">
        <v>15</v>
      </c>
      <c r="D102" t="s">
        <v>16</v>
      </c>
      <c r="E102" t="s">
        <v>88</v>
      </c>
      <c r="F102" t="s">
        <v>46</v>
      </c>
      <c r="G102" t="s">
        <v>19</v>
      </c>
      <c r="H102" s="2">
        <v>45659</v>
      </c>
      <c r="I102" s="3">
        <v>390</v>
      </c>
      <c r="J102">
        <v>18</v>
      </c>
      <c r="K102" t="s">
        <v>20</v>
      </c>
      <c r="L102" t="s">
        <v>21</v>
      </c>
      <c r="M102">
        <v>5</v>
      </c>
    </row>
    <row r="103" spans="1:13">
      <c r="A103" t="s">
        <v>221</v>
      </c>
      <c r="B103" t="s">
        <v>187</v>
      </c>
      <c r="C103" t="s">
        <v>35</v>
      </c>
      <c r="D103" t="s">
        <v>45</v>
      </c>
      <c r="E103" t="s">
        <v>39</v>
      </c>
      <c r="F103" t="s">
        <v>60</v>
      </c>
      <c r="G103" t="s">
        <v>41</v>
      </c>
      <c r="H103" s="2">
        <v>45576</v>
      </c>
      <c r="I103" s="3">
        <v>305</v>
      </c>
      <c r="J103">
        <v>11</v>
      </c>
      <c r="K103" t="s">
        <v>26</v>
      </c>
      <c r="L103" t="s">
        <v>32</v>
      </c>
      <c r="M103">
        <v>5</v>
      </c>
    </row>
    <row r="104" spans="1:13">
      <c r="A104" t="s">
        <v>222</v>
      </c>
      <c r="B104" t="s">
        <v>223</v>
      </c>
      <c r="C104" t="s">
        <v>44</v>
      </c>
      <c r="D104" t="s">
        <v>49</v>
      </c>
      <c r="E104" t="s">
        <v>88</v>
      </c>
      <c r="F104" t="s">
        <v>18</v>
      </c>
      <c r="G104" t="s">
        <v>19</v>
      </c>
      <c r="H104" s="2">
        <v>45294</v>
      </c>
      <c r="I104" s="3">
        <v>220</v>
      </c>
      <c r="J104">
        <v>6</v>
      </c>
      <c r="K104" t="s">
        <v>20</v>
      </c>
      <c r="L104" t="s">
        <v>224</v>
      </c>
      <c r="M104">
        <v>4</v>
      </c>
    </row>
    <row r="105" spans="1:13">
      <c r="A105" t="s">
        <v>225</v>
      </c>
      <c r="B105" t="s">
        <v>216</v>
      </c>
      <c r="C105" t="s">
        <v>24</v>
      </c>
      <c r="D105" t="s">
        <v>16</v>
      </c>
      <c r="E105" t="s">
        <v>53</v>
      </c>
      <c r="F105" t="s">
        <v>60</v>
      </c>
      <c r="G105" t="s">
        <v>31</v>
      </c>
      <c r="H105" s="2">
        <v>46187</v>
      </c>
      <c r="I105" s="3">
        <v>200</v>
      </c>
      <c r="J105">
        <v>20</v>
      </c>
      <c r="K105" t="s">
        <v>26</v>
      </c>
      <c r="L105" t="s">
        <v>32</v>
      </c>
      <c r="M105">
        <v>3</v>
      </c>
    </row>
    <row r="106" spans="1:13">
      <c r="A106" t="s">
        <v>226</v>
      </c>
      <c r="B106" t="s">
        <v>227</v>
      </c>
      <c r="C106" t="s">
        <v>35</v>
      </c>
      <c r="D106" t="s">
        <v>29</v>
      </c>
      <c r="E106" t="s">
        <v>88</v>
      </c>
      <c r="F106" t="s">
        <v>18</v>
      </c>
      <c r="G106" t="s">
        <v>41</v>
      </c>
      <c r="H106" s="2">
        <v>45558</v>
      </c>
      <c r="I106" s="3">
        <v>1200</v>
      </c>
      <c r="J106">
        <v>73</v>
      </c>
      <c r="K106" t="s">
        <v>20</v>
      </c>
      <c r="L106" t="s">
        <v>32</v>
      </c>
      <c r="M106">
        <v>5</v>
      </c>
    </row>
    <row r="107" spans="1:13">
      <c r="A107" t="s">
        <v>228</v>
      </c>
      <c r="B107" t="s">
        <v>129</v>
      </c>
      <c r="C107" t="s">
        <v>24</v>
      </c>
      <c r="D107" t="s">
        <v>29</v>
      </c>
      <c r="E107" t="s">
        <v>53</v>
      </c>
      <c r="F107" t="s">
        <v>36</v>
      </c>
      <c r="G107" t="s">
        <v>41</v>
      </c>
      <c r="H107" s="2">
        <v>46103</v>
      </c>
      <c r="I107" s="3">
        <v>465</v>
      </c>
      <c r="J107">
        <v>11</v>
      </c>
      <c r="K107" t="s">
        <v>26</v>
      </c>
      <c r="L107" t="s">
        <v>50</v>
      </c>
      <c r="M107">
        <v>4</v>
      </c>
    </row>
    <row r="108" spans="1:13">
      <c r="A108" t="s">
        <v>229</v>
      </c>
      <c r="B108" t="s">
        <v>230</v>
      </c>
      <c r="C108" t="s">
        <v>35</v>
      </c>
      <c r="D108" t="s">
        <v>29</v>
      </c>
      <c r="E108" t="s">
        <v>88</v>
      </c>
      <c r="F108" t="s">
        <v>40</v>
      </c>
      <c r="G108" t="s">
        <v>19</v>
      </c>
      <c r="H108" s="2">
        <v>45935</v>
      </c>
      <c r="I108" s="3">
        <v>195</v>
      </c>
      <c r="J108">
        <v>2</v>
      </c>
      <c r="K108" t="s">
        <v>26</v>
      </c>
      <c r="L108" t="s">
        <v>32</v>
      </c>
      <c r="M108">
        <v>4</v>
      </c>
    </row>
    <row r="109" spans="1:13">
      <c r="A109" t="s">
        <v>231</v>
      </c>
      <c r="B109" t="s">
        <v>92</v>
      </c>
      <c r="C109" t="s">
        <v>15</v>
      </c>
      <c r="D109" t="s">
        <v>45</v>
      </c>
      <c r="E109" t="s">
        <v>53</v>
      </c>
      <c r="F109" t="s">
        <v>36</v>
      </c>
      <c r="G109" t="s">
        <v>31</v>
      </c>
      <c r="H109" s="2">
        <v>45717</v>
      </c>
      <c r="I109" s="3">
        <v>270</v>
      </c>
      <c r="J109">
        <v>8</v>
      </c>
      <c r="K109" t="s">
        <v>26</v>
      </c>
      <c r="L109" t="s">
        <v>32</v>
      </c>
      <c r="M109">
        <v>5</v>
      </c>
    </row>
    <row r="110" spans="1:13">
      <c r="A110" t="s">
        <v>232</v>
      </c>
      <c r="B110" t="s">
        <v>233</v>
      </c>
      <c r="C110" t="s">
        <v>15</v>
      </c>
      <c r="D110" t="s">
        <v>16</v>
      </c>
      <c r="E110" t="s">
        <v>17</v>
      </c>
      <c r="F110" t="s">
        <v>46</v>
      </c>
      <c r="G110" t="s">
        <v>19</v>
      </c>
      <c r="H110" s="2">
        <v>46078</v>
      </c>
      <c r="I110" s="3">
        <v>240</v>
      </c>
      <c r="J110">
        <v>16</v>
      </c>
      <c r="K110" t="s">
        <v>20</v>
      </c>
      <c r="L110" t="s">
        <v>50</v>
      </c>
      <c r="M110">
        <v>2</v>
      </c>
    </row>
    <row r="111" spans="1:13">
      <c r="A111" t="s">
        <v>234</v>
      </c>
      <c r="B111" t="s">
        <v>79</v>
      </c>
      <c r="C111" t="s">
        <v>24</v>
      </c>
      <c r="D111" t="s">
        <v>25</v>
      </c>
      <c r="E111" t="s">
        <v>53</v>
      </c>
      <c r="F111" t="s">
        <v>60</v>
      </c>
      <c r="G111" t="s">
        <v>41</v>
      </c>
      <c r="H111" s="2">
        <v>46040</v>
      </c>
      <c r="I111" s="3">
        <v>300</v>
      </c>
      <c r="J111">
        <v>7</v>
      </c>
      <c r="K111" t="s">
        <v>26</v>
      </c>
      <c r="L111" t="s">
        <v>21</v>
      </c>
      <c r="M111">
        <v>5</v>
      </c>
    </row>
    <row r="112" spans="1:13">
      <c r="A112" t="s">
        <v>235</v>
      </c>
      <c r="B112" t="s">
        <v>236</v>
      </c>
      <c r="C112" t="s">
        <v>24</v>
      </c>
      <c r="D112" t="s">
        <v>45</v>
      </c>
      <c r="E112" t="s">
        <v>88</v>
      </c>
      <c r="F112" t="s">
        <v>36</v>
      </c>
      <c r="G112" t="s">
        <v>19</v>
      </c>
      <c r="H112" s="2">
        <v>46168</v>
      </c>
      <c r="I112" s="3">
        <v>370</v>
      </c>
      <c r="J112">
        <v>17</v>
      </c>
      <c r="K112" t="s">
        <v>26</v>
      </c>
      <c r="L112" t="s">
        <v>50</v>
      </c>
      <c r="M112">
        <v>3</v>
      </c>
    </row>
    <row r="113" spans="1:13">
      <c r="A113" t="s">
        <v>237</v>
      </c>
      <c r="B113" t="s">
        <v>238</v>
      </c>
      <c r="C113" t="s">
        <v>44</v>
      </c>
      <c r="D113" t="s">
        <v>49</v>
      </c>
      <c r="E113" t="s">
        <v>39</v>
      </c>
      <c r="F113" t="s">
        <v>46</v>
      </c>
      <c r="G113" t="s">
        <v>41</v>
      </c>
      <c r="H113" s="2">
        <v>45542</v>
      </c>
      <c r="I113" s="3">
        <v>320</v>
      </c>
      <c r="J113">
        <v>9</v>
      </c>
      <c r="K113" t="s">
        <v>26</v>
      </c>
      <c r="L113" t="s">
        <v>32</v>
      </c>
      <c r="M113">
        <v>5</v>
      </c>
    </row>
    <row r="114" spans="1:13">
      <c r="A114" t="s">
        <v>239</v>
      </c>
      <c r="B114" t="s">
        <v>240</v>
      </c>
      <c r="C114" t="s">
        <v>35</v>
      </c>
      <c r="D114" t="s">
        <v>49</v>
      </c>
      <c r="E114" t="s">
        <v>17</v>
      </c>
      <c r="F114" t="s">
        <v>36</v>
      </c>
      <c r="G114" t="s">
        <v>41</v>
      </c>
      <c r="H114" s="2">
        <v>45714</v>
      </c>
      <c r="I114" s="3">
        <v>730</v>
      </c>
      <c r="J114">
        <v>50</v>
      </c>
      <c r="K114" t="s">
        <v>20</v>
      </c>
      <c r="L114" t="s">
        <v>32</v>
      </c>
      <c r="M114">
        <v>3</v>
      </c>
    </row>
    <row r="115" spans="1:13">
      <c r="A115" t="s">
        <v>241</v>
      </c>
      <c r="B115" t="s">
        <v>175</v>
      </c>
      <c r="C115" t="s">
        <v>24</v>
      </c>
      <c r="D115" t="s">
        <v>25</v>
      </c>
      <c r="E115" t="s">
        <v>88</v>
      </c>
      <c r="F115" t="s">
        <v>36</v>
      </c>
      <c r="G115" t="s">
        <v>41</v>
      </c>
      <c r="H115" s="2">
        <v>46134</v>
      </c>
      <c r="I115" s="3">
        <v>450</v>
      </c>
      <c r="J115">
        <v>12</v>
      </c>
      <c r="K115" t="s">
        <v>26</v>
      </c>
      <c r="L115" t="s">
        <v>32</v>
      </c>
      <c r="M115">
        <v>2</v>
      </c>
    </row>
    <row r="116" spans="1:13">
      <c r="A116" t="s">
        <v>242</v>
      </c>
      <c r="B116" t="s">
        <v>81</v>
      </c>
      <c r="C116" t="s">
        <v>44</v>
      </c>
      <c r="D116" t="s">
        <v>45</v>
      </c>
      <c r="E116" t="s">
        <v>88</v>
      </c>
      <c r="F116" t="s">
        <v>40</v>
      </c>
      <c r="G116" t="s">
        <v>41</v>
      </c>
      <c r="H116" s="2">
        <v>45739</v>
      </c>
      <c r="I116" s="3">
        <v>575</v>
      </c>
      <c r="J116">
        <v>18</v>
      </c>
      <c r="K116" t="s">
        <v>26</v>
      </c>
      <c r="L116" t="s">
        <v>32</v>
      </c>
      <c r="M116">
        <v>4</v>
      </c>
    </row>
    <row r="117" spans="1:13">
      <c r="A117" t="s">
        <v>243</v>
      </c>
      <c r="B117" t="s">
        <v>122</v>
      </c>
      <c r="C117" t="s">
        <v>35</v>
      </c>
      <c r="D117" t="s">
        <v>25</v>
      </c>
      <c r="E117" t="s">
        <v>53</v>
      </c>
      <c r="F117" t="s">
        <v>36</v>
      </c>
      <c r="G117" t="s">
        <v>31</v>
      </c>
      <c r="H117" s="2">
        <v>45560</v>
      </c>
      <c r="I117" s="3">
        <v>325</v>
      </c>
      <c r="J117">
        <v>21</v>
      </c>
      <c r="K117" t="s">
        <v>26</v>
      </c>
      <c r="L117" t="s">
        <v>32</v>
      </c>
      <c r="M117">
        <v>4</v>
      </c>
    </row>
    <row r="118" spans="1:13">
      <c r="A118" t="s">
        <v>244</v>
      </c>
      <c r="B118" t="s">
        <v>245</v>
      </c>
      <c r="C118" t="s">
        <v>15</v>
      </c>
      <c r="D118" t="s">
        <v>59</v>
      </c>
      <c r="E118" t="s">
        <v>39</v>
      </c>
      <c r="F118" t="s">
        <v>40</v>
      </c>
      <c r="G118" t="s">
        <v>41</v>
      </c>
      <c r="H118" s="2">
        <v>45420</v>
      </c>
      <c r="I118" s="3">
        <v>290</v>
      </c>
      <c r="J118">
        <v>2</v>
      </c>
      <c r="K118" t="s">
        <v>26</v>
      </c>
      <c r="L118" t="s">
        <v>32</v>
      </c>
      <c r="M118">
        <v>2</v>
      </c>
    </row>
    <row r="119" spans="1:13">
      <c r="A119" t="s">
        <v>246</v>
      </c>
      <c r="B119" t="s">
        <v>38</v>
      </c>
      <c r="C119" t="s">
        <v>35</v>
      </c>
      <c r="D119" t="s">
        <v>16</v>
      </c>
      <c r="E119" t="s">
        <v>17</v>
      </c>
      <c r="F119" t="s">
        <v>18</v>
      </c>
      <c r="G119" t="s">
        <v>41</v>
      </c>
      <c r="H119" s="2">
        <v>45439</v>
      </c>
      <c r="I119" s="3">
        <v>580</v>
      </c>
      <c r="J119">
        <v>30</v>
      </c>
      <c r="K119" t="s">
        <v>26</v>
      </c>
      <c r="L119" t="s">
        <v>32</v>
      </c>
      <c r="M119">
        <v>4</v>
      </c>
    </row>
    <row r="120" spans="1:13">
      <c r="A120" t="s">
        <v>247</v>
      </c>
      <c r="B120" t="s">
        <v>248</v>
      </c>
      <c r="C120" t="s">
        <v>24</v>
      </c>
      <c r="D120" t="s">
        <v>25</v>
      </c>
      <c r="E120" t="s">
        <v>17</v>
      </c>
      <c r="F120" t="s">
        <v>46</v>
      </c>
      <c r="G120" t="s">
        <v>19</v>
      </c>
      <c r="H120" s="2">
        <v>45867</v>
      </c>
      <c r="I120" s="3">
        <v>320</v>
      </c>
      <c r="J120">
        <v>15</v>
      </c>
      <c r="K120" t="s">
        <v>26</v>
      </c>
      <c r="L120" t="s">
        <v>21</v>
      </c>
      <c r="M120">
        <v>4</v>
      </c>
    </row>
    <row r="121" spans="1:13">
      <c r="A121" t="s">
        <v>249</v>
      </c>
      <c r="B121" t="s">
        <v>28</v>
      </c>
      <c r="C121" t="s">
        <v>44</v>
      </c>
      <c r="D121" t="s">
        <v>49</v>
      </c>
      <c r="E121" t="s">
        <v>53</v>
      </c>
      <c r="F121" t="s">
        <v>46</v>
      </c>
      <c r="G121" t="s">
        <v>31</v>
      </c>
      <c r="H121" s="2">
        <v>45828</v>
      </c>
      <c r="I121" s="3">
        <v>240</v>
      </c>
      <c r="J121">
        <v>12</v>
      </c>
      <c r="K121" t="s">
        <v>26</v>
      </c>
      <c r="L121" t="s">
        <v>32</v>
      </c>
      <c r="M121">
        <v>4</v>
      </c>
    </row>
    <row r="122" spans="1:13">
      <c r="A122" t="s">
        <v>250</v>
      </c>
      <c r="B122" t="s">
        <v>236</v>
      </c>
      <c r="C122" t="s">
        <v>24</v>
      </c>
      <c r="D122" t="s">
        <v>25</v>
      </c>
      <c r="E122" t="s">
        <v>56</v>
      </c>
      <c r="F122" t="s">
        <v>46</v>
      </c>
      <c r="G122" t="s">
        <v>41</v>
      </c>
      <c r="H122" s="2">
        <v>45557</v>
      </c>
      <c r="I122" s="3">
        <v>465</v>
      </c>
      <c r="J122">
        <v>19</v>
      </c>
      <c r="K122" t="s">
        <v>26</v>
      </c>
      <c r="L122" t="s">
        <v>32</v>
      </c>
      <c r="M122">
        <v>4</v>
      </c>
    </row>
    <row r="123" spans="1:13">
      <c r="A123" t="s">
        <v>251</v>
      </c>
      <c r="B123" t="s">
        <v>252</v>
      </c>
      <c r="C123" t="s">
        <v>24</v>
      </c>
      <c r="D123" t="s">
        <v>45</v>
      </c>
      <c r="E123" t="s">
        <v>53</v>
      </c>
      <c r="F123" t="s">
        <v>60</v>
      </c>
      <c r="G123" t="s">
        <v>41</v>
      </c>
      <c r="H123" s="2">
        <v>45705</v>
      </c>
      <c r="I123" s="3">
        <v>325</v>
      </c>
      <c r="J123">
        <v>10</v>
      </c>
      <c r="K123" t="s">
        <v>20</v>
      </c>
      <c r="L123" t="s">
        <v>32</v>
      </c>
      <c r="M123">
        <v>5</v>
      </c>
    </row>
    <row r="124" spans="1:13">
      <c r="A124" t="s">
        <v>253</v>
      </c>
      <c r="B124" t="s">
        <v>191</v>
      </c>
      <c r="C124" t="s">
        <v>24</v>
      </c>
      <c r="D124" t="s">
        <v>16</v>
      </c>
      <c r="E124" t="s">
        <v>53</v>
      </c>
      <c r="F124" t="s">
        <v>40</v>
      </c>
      <c r="G124" t="s">
        <v>19</v>
      </c>
      <c r="H124" s="2">
        <v>45555</v>
      </c>
      <c r="I124" s="3">
        <v>220</v>
      </c>
      <c r="J124">
        <v>7</v>
      </c>
      <c r="K124" t="s">
        <v>26</v>
      </c>
      <c r="L124" t="s">
        <v>32</v>
      </c>
      <c r="M124">
        <v>5</v>
      </c>
    </row>
    <row r="125" spans="1:13">
      <c r="A125" t="s">
        <v>254</v>
      </c>
      <c r="B125" t="s">
        <v>198</v>
      </c>
      <c r="C125" t="s">
        <v>35</v>
      </c>
      <c r="D125" t="s">
        <v>45</v>
      </c>
      <c r="E125" t="s">
        <v>39</v>
      </c>
      <c r="F125" t="s">
        <v>60</v>
      </c>
      <c r="G125" t="s">
        <v>31</v>
      </c>
      <c r="H125" s="2">
        <v>45359</v>
      </c>
      <c r="I125" s="3">
        <v>160</v>
      </c>
      <c r="J125">
        <v>4</v>
      </c>
      <c r="K125" t="s">
        <v>26</v>
      </c>
      <c r="L125" t="s">
        <v>32</v>
      </c>
      <c r="M125">
        <v>5</v>
      </c>
    </row>
    <row r="126" spans="1:13">
      <c r="A126" t="s">
        <v>255</v>
      </c>
      <c r="B126" t="s">
        <v>68</v>
      </c>
      <c r="C126" t="s">
        <v>15</v>
      </c>
      <c r="D126" t="s">
        <v>45</v>
      </c>
      <c r="E126" t="s">
        <v>53</v>
      </c>
      <c r="F126" t="s">
        <v>60</v>
      </c>
      <c r="G126" t="s">
        <v>19</v>
      </c>
      <c r="H126" s="2">
        <v>46076</v>
      </c>
      <c r="I126" s="3">
        <v>280</v>
      </c>
      <c r="J126">
        <v>14</v>
      </c>
      <c r="K126" t="s">
        <v>26</v>
      </c>
      <c r="L126" t="s">
        <v>32</v>
      </c>
      <c r="M126">
        <v>4</v>
      </c>
    </row>
    <row r="127" spans="1:13">
      <c r="A127" t="s">
        <v>256</v>
      </c>
      <c r="B127" t="s">
        <v>257</v>
      </c>
      <c r="C127" t="s">
        <v>15</v>
      </c>
      <c r="D127" t="s">
        <v>16</v>
      </c>
      <c r="E127" t="s">
        <v>56</v>
      </c>
      <c r="F127" t="s">
        <v>40</v>
      </c>
      <c r="G127" t="s">
        <v>31</v>
      </c>
      <c r="H127" s="2">
        <v>45401</v>
      </c>
      <c r="I127" s="3">
        <v>245</v>
      </c>
      <c r="J127">
        <v>24</v>
      </c>
      <c r="K127" t="s">
        <v>26</v>
      </c>
      <c r="L127" t="s">
        <v>21</v>
      </c>
      <c r="M127">
        <v>4</v>
      </c>
    </row>
    <row r="128" spans="1:13">
      <c r="A128" t="s">
        <v>258</v>
      </c>
      <c r="B128" t="s">
        <v>112</v>
      </c>
      <c r="C128" t="s">
        <v>24</v>
      </c>
      <c r="D128" t="s">
        <v>16</v>
      </c>
      <c r="E128" t="s">
        <v>39</v>
      </c>
      <c r="F128" t="s">
        <v>60</v>
      </c>
      <c r="G128" t="s">
        <v>31</v>
      </c>
      <c r="H128" s="2">
        <v>45344</v>
      </c>
      <c r="I128" s="3">
        <v>160</v>
      </c>
      <c r="J128">
        <v>14</v>
      </c>
      <c r="K128" t="s">
        <v>26</v>
      </c>
      <c r="L128" t="s">
        <v>32</v>
      </c>
      <c r="M128">
        <v>4</v>
      </c>
    </row>
    <row r="129" spans="1:13">
      <c r="A129" t="s">
        <v>259</v>
      </c>
      <c r="B129" t="s">
        <v>260</v>
      </c>
      <c r="C129" t="s">
        <v>15</v>
      </c>
      <c r="D129" t="s">
        <v>45</v>
      </c>
      <c r="E129" t="s">
        <v>56</v>
      </c>
      <c r="F129" t="s">
        <v>40</v>
      </c>
      <c r="G129" t="s">
        <v>31</v>
      </c>
      <c r="H129" s="2">
        <v>45625</v>
      </c>
      <c r="I129" s="3">
        <v>140</v>
      </c>
      <c r="J129">
        <v>6</v>
      </c>
      <c r="K129" t="s">
        <v>26</v>
      </c>
      <c r="L129" t="s">
        <v>32</v>
      </c>
      <c r="M129">
        <v>3</v>
      </c>
    </row>
    <row r="130" spans="1:13">
      <c r="A130" t="s">
        <v>261</v>
      </c>
      <c r="B130" t="s">
        <v>262</v>
      </c>
      <c r="C130" t="s">
        <v>35</v>
      </c>
      <c r="D130" t="s">
        <v>25</v>
      </c>
      <c r="E130" t="s">
        <v>17</v>
      </c>
      <c r="F130" t="s">
        <v>46</v>
      </c>
      <c r="G130" t="s">
        <v>31</v>
      </c>
      <c r="H130" s="2">
        <v>45663</v>
      </c>
      <c r="I130" s="3">
        <v>260</v>
      </c>
      <c r="J130">
        <v>13</v>
      </c>
      <c r="K130" t="s">
        <v>26</v>
      </c>
      <c r="L130" t="s">
        <v>21</v>
      </c>
      <c r="M130">
        <v>4</v>
      </c>
    </row>
    <row r="131" spans="1:13">
      <c r="A131" t="s">
        <v>263</v>
      </c>
      <c r="B131" t="s">
        <v>146</v>
      </c>
      <c r="C131" t="s">
        <v>44</v>
      </c>
      <c r="D131" t="s">
        <v>59</v>
      </c>
      <c r="E131" t="s">
        <v>88</v>
      </c>
      <c r="F131" t="s">
        <v>40</v>
      </c>
      <c r="G131" t="s">
        <v>19</v>
      </c>
      <c r="H131" s="2">
        <v>45906</v>
      </c>
      <c r="I131" s="3">
        <v>-145</v>
      </c>
      <c r="J131">
        <v>12</v>
      </c>
      <c r="K131" t="s">
        <v>26</v>
      </c>
      <c r="L131" t="s">
        <v>32</v>
      </c>
      <c r="M131">
        <v>4</v>
      </c>
    </row>
    <row r="132" spans="1:13">
      <c r="A132" t="s">
        <v>264</v>
      </c>
      <c r="B132" t="s">
        <v>164</v>
      </c>
      <c r="C132" t="s">
        <v>44</v>
      </c>
      <c r="D132" t="s">
        <v>29</v>
      </c>
      <c r="E132" t="s">
        <v>17</v>
      </c>
      <c r="F132" t="s">
        <v>40</v>
      </c>
      <c r="G132" t="s">
        <v>41</v>
      </c>
      <c r="H132" s="2">
        <v>46123</v>
      </c>
      <c r="I132" s="3">
        <v>450</v>
      </c>
      <c r="J132">
        <v>12</v>
      </c>
      <c r="K132" t="s">
        <v>26</v>
      </c>
      <c r="L132" t="s">
        <v>50</v>
      </c>
      <c r="M132">
        <v>5</v>
      </c>
    </row>
    <row r="133" spans="1:13">
      <c r="A133" t="s">
        <v>265</v>
      </c>
      <c r="B133" t="s">
        <v>266</v>
      </c>
      <c r="C133" t="s">
        <v>44</v>
      </c>
      <c r="D133" t="s">
        <v>29</v>
      </c>
      <c r="E133" t="s">
        <v>30</v>
      </c>
      <c r="F133" t="s">
        <v>46</v>
      </c>
      <c r="G133" t="s">
        <v>41</v>
      </c>
      <c r="H133" s="2">
        <v>45808</v>
      </c>
      <c r="I133" s="3">
        <v>275</v>
      </c>
      <c r="J133">
        <v>10</v>
      </c>
      <c r="K133" t="s">
        <v>26</v>
      </c>
      <c r="L133" t="s">
        <v>21</v>
      </c>
      <c r="M133">
        <v>3</v>
      </c>
    </row>
    <row r="134" spans="1:13">
      <c r="A134" t="s">
        <v>267</v>
      </c>
      <c r="B134" t="s">
        <v>268</v>
      </c>
      <c r="C134" t="s">
        <v>15</v>
      </c>
      <c r="D134" t="s">
        <v>45</v>
      </c>
      <c r="E134" t="s">
        <v>30</v>
      </c>
      <c r="F134" t="s">
        <v>40</v>
      </c>
      <c r="G134" t="s">
        <v>41</v>
      </c>
      <c r="H134" s="2">
        <v>45619</v>
      </c>
      <c r="I134" s="3">
        <v>530</v>
      </c>
      <c r="J134">
        <v>15</v>
      </c>
      <c r="K134" t="s">
        <v>26</v>
      </c>
      <c r="L134" t="s">
        <v>32</v>
      </c>
      <c r="M134">
        <v>4</v>
      </c>
    </row>
    <row r="135" spans="1:13">
      <c r="A135" t="s">
        <v>269</v>
      </c>
      <c r="B135" t="s">
        <v>75</v>
      </c>
      <c r="C135" t="s">
        <v>44</v>
      </c>
      <c r="D135" t="s">
        <v>59</v>
      </c>
      <c r="E135" t="s">
        <v>30</v>
      </c>
      <c r="F135" t="s">
        <v>36</v>
      </c>
      <c r="G135" t="s">
        <v>31</v>
      </c>
      <c r="H135" s="2">
        <v>45678</v>
      </c>
      <c r="I135" s="3">
        <v>480</v>
      </c>
      <c r="J135">
        <v>30</v>
      </c>
      <c r="K135" t="s">
        <v>26</v>
      </c>
      <c r="L135" t="s">
        <v>32</v>
      </c>
      <c r="M135">
        <v>3</v>
      </c>
    </row>
    <row r="136" spans="1:13">
      <c r="A136" t="s">
        <v>270</v>
      </c>
      <c r="B136" t="s">
        <v>73</v>
      </c>
      <c r="C136" t="s">
        <v>15</v>
      </c>
      <c r="D136" t="s">
        <v>59</v>
      </c>
      <c r="E136" t="s">
        <v>30</v>
      </c>
      <c r="F136" t="s">
        <v>46</v>
      </c>
      <c r="G136" t="s">
        <v>41</v>
      </c>
      <c r="H136" s="2">
        <v>45908</v>
      </c>
      <c r="I136" s="3">
        <v>290</v>
      </c>
      <c r="J136">
        <v>19</v>
      </c>
      <c r="K136" t="s">
        <v>26</v>
      </c>
      <c r="L136" t="s">
        <v>32</v>
      </c>
      <c r="M136">
        <v>4</v>
      </c>
    </row>
    <row r="137" spans="1:13">
      <c r="A137" t="s">
        <v>271</v>
      </c>
      <c r="B137" t="s">
        <v>204</v>
      </c>
      <c r="C137" t="s">
        <v>44</v>
      </c>
      <c r="D137" t="s">
        <v>29</v>
      </c>
      <c r="E137" t="s">
        <v>56</v>
      </c>
      <c r="F137" t="s">
        <v>40</v>
      </c>
      <c r="G137" t="s">
        <v>31</v>
      </c>
      <c r="H137" s="2">
        <v>45547</v>
      </c>
      <c r="I137" s="3">
        <v>235</v>
      </c>
      <c r="J137">
        <v>19</v>
      </c>
      <c r="K137" t="s">
        <v>26</v>
      </c>
      <c r="L137" t="s">
        <v>21</v>
      </c>
      <c r="M137">
        <v>4</v>
      </c>
    </row>
    <row r="138" spans="1:13">
      <c r="A138" t="s">
        <v>272</v>
      </c>
      <c r="B138" t="s">
        <v>110</v>
      </c>
      <c r="C138" t="s">
        <v>15</v>
      </c>
      <c r="D138" t="s">
        <v>25</v>
      </c>
      <c r="E138" t="s">
        <v>88</v>
      </c>
      <c r="F138" t="s">
        <v>46</v>
      </c>
      <c r="G138" t="s">
        <v>19</v>
      </c>
      <c r="H138" s="2">
        <v>45961</v>
      </c>
      <c r="I138" s="3">
        <v>275</v>
      </c>
      <c r="J138">
        <v>25</v>
      </c>
      <c r="K138" t="s">
        <v>26</v>
      </c>
      <c r="L138" t="s">
        <v>32</v>
      </c>
      <c r="M138">
        <v>4</v>
      </c>
    </row>
    <row r="139" spans="1:13">
      <c r="A139" t="s">
        <v>273</v>
      </c>
      <c r="B139" t="s">
        <v>274</v>
      </c>
      <c r="C139" t="s">
        <v>24</v>
      </c>
      <c r="D139" t="s">
        <v>25</v>
      </c>
      <c r="E139" t="s">
        <v>17</v>
      </c>
      <c r="F139" t="s">
        <v>46</v>
      </c>
      <c r="G139" t="s">
        <v>41</v>
      </c>
      <c r="H139" s="2">
        <v>46070</v>
      </c>
      <c r="I139" s="3">
        <v>270</v>
      </c>
      <c r="J139">
        <v>19</v>
      </c>
      <c r="K139" t="s">
        <v>26</v>
      </c>
      <c r="L139" t="s">
        <v>21</v>
      </c>
      <c r="M139">
        <v>3</v>
      </c>
    </row>
    <row r="140" spans="1:13">
      <c r="A140" t="s">
        <v>275</v>
      </c>
      <c r="B140" t="s">
        <v>148</v>
      </c>
      <c r="C140" t="s">
        <v>44</v>
      </c>
      <c r="D140" t="s">
        <v>16</v>
      </c>
      <c r="E140" t="s">
        <v>53</v>
      </c>
      <c r="F140" t="s">
        <v>60</v>
      </c>
      <c r="G140" t="s">
        <v>31</v>
      </c>
      <c r="H140" s="2">
        <v>45419</v>
      </c>
      <c r="I140" s="3">
        <v>230</v>
      </c>
      <c r="J140">
        <v>12</v>
      </c>
      <c r="K140" t="s">
        <v>26</v>
      </c>
      <c r="L140" t="s">
        <v>32</v>
      </c>
      <c r="M140">
        <v>2</v>
      </c>
    </row>
    <row r="141" spans="1:13">
      <c r="A141" t="s">
        <v>276</v>
      </c>
      <c r="B141" t="s">
        <v>277</v>
      </c>
      <c r="C141" t="s">
        <v>24</v>
      </c>
      <c r="D141" t="s">
        <v>59</v>
      </c>
      <c r="E141" t="s">
        <v>56</v>
      </c>
      <c r="F141" t="s">
        <v>60</v>
      </c>
      <c r="G141" t="s">
        <v>41</v>
      </c>
      <c r="H141" s="2">
        <v>45470</v>
      </c>
      <c r="I141" s="3">
        <v>440</v>
      </c>
      <c r="J141">
        <v>11</v>
      </c>
      <c r="K141" t="s">
        <v>26</v>
      </c>
      <c r="L141" t="s">
        <v>50</v>
      </c>
      <c r="M141">
        <v>3</v>
      </c>
    </row>
    <row r="142" spans="1:13">
      <c r="A142" t="s">
        <v>278</v>
      </c>
      <c r="B142" t="s">
        <v>73</v>
      </c>
      <c r="C142" t="s">
        <v>35</v>
      </c>
      <c r="D142" t="s">
        <v>29</v>
      </c>
      <c r="E142" t="s">
        <v>30</v>
      </c>
      <c r="F142" t="s">
        <v>36</v>
      </c>
      <c r="G142" t="s">
        <v>41</v>
      </c>
      <c r="H142" s="2">
        <v>45753</v>
      </c>
      <c r="I142" s="3">
        <v>1275</v>
      </c>
      <c r="J142">
        <v>67</v>
      </c>
      <c r="K142" t="s">
        <v>26</v>
      </c>
      <c r="L142" t="s">
        <v>21</v>
      </c>
      <c r="M142">
        <v>4</v>
      </c>
    </row>
    <row r="143" spans="1:13">
      <c r="A143" t="s">
        <v>279</v>
      </c>
      <c r="B143" t="s">
        <v>120</v>
      </c>
      <c r="C143" t="s">
        <v>35</v>
      </c>
      <c r="D143" t="s">
        <v>16</v>
      </c>
      <c r="E143" t="s">
        <v>53</v>
      </c>
      <c r="F143" t="s">
        <v>40</v>
      </c>
      <c r="G143" t="s">
        <v>41</v>
      </c>
      <c r="H143" s="2">
        <v>45717</v>
      </c>
      <c r="I143" s="3">
        <v>500</v>
      </c>
      <c r="J143">
        <v>20</v>
      </c>
      <c r="K143" t="s">
        <v>26</v>
      </c>
      <c r="L143" t="s">
        <v>32</v>
      </c>
      <c r="M143">
        <v>5</v>
      </c>
    </row>
    <row r="144" spans="1:13">
      <c r="A144" t="s">
        <v>280</v>
      </c>
      <c r="B144" t="s">
        <v>281</v>
      </c>
      <c r="C144" t="s">
        <v>15</v>
      </c>
      <c r="D144" t="s">
        <v>59</v>
      </c>
      <c r="E144" t="s">
        <v>88</v>
      </c>
      <c r="F144" t="s">
        <v>40</v>
      </c>
      <c r="G144" t="s">
        <v>31</v>
      </c>
      <c r="H144" s="2">
        <v>45707</v>
      </c>
      <c r="I144" s="3">
        <v>370</v>
      </c>
      <c r="J144">
        <v>25</v>
      </c>
      <c r="K144" t="s">
        <v>26</v>
      </c>
      <c r="L144" t="s">
        <v>32</v>
      </c>
      <c r="M144">
        <v>4</v>
      </c>
    </row>
    <row r="145" spans="1:13">
      <c r="A145" t="s">
        <v>282</v>
      </c>
      <c r="B145" t="s">
        <v>283</v>
      </c>
      <c r="C145" t="s">
        <v>24</v>
      </c>
      <c r="D145" t="s">
        <v>59</v>
      </c>
      <c r="E145" t="s">
        <v>56</v>
      </c>
      <c r="F145" t="s">
        <v>40</v>
      </c>
      <c r="G145" t="s">
        <v>41</v>
      </c>
      <c r="H145" s="2">
        <v>45901</v>
      </c>
      <c r="I145" s="3">
        <v>470</v>
      </c>
      <c r="J145">
        <v>11</v>
      </c>
      <c r="K145" t="s">
        <v>20</v>
      </c>
      <c r="L145" t="s">
        <v>32</v>
      </c>
      <c r="M145">
        <v>4</v>
      </c>
    </row>
    <row r="146" spans="1:13">
      <c r="A146" t="s">
        <v>284</v>
      </c>
      <c r="B146" t="s">
        <v>142</v>
      </c>
      <c r="C146" t="s">
        <v>24</v>
      </c>
      <c r="D146" t="s">
        <v>25</v>
      </c>
      <c r="E146" t="s">
        <v>56</v>
      </c>
      <c r="F146" t="s">
        <v>36</v>
      </c>
      <c r="G146" t="s">
        <v>31</v>
      </c>
      <c r="H146" s="2">
        <v>45922</v>
      </c>
      <c r="I146" s="3">
        <v>645</v>
      </c>
      <c r="J146">
        <v>79</v>
      </c>
      <c r="K146" t="s">
        <v>20</v>
      </c>
      <c r="L146" t="s">
        <v>50</v>
      </c>
      <c r="M146">
        <v>3</v>
      </c>
    </row>
    <row r="147" spans="1:13">
      <c r="A147" t="s">
        <v>285</v>
      </c>
      <c r="B147" t="s">
        <v>286</v>
      </c>
      <c r="C147" t="s">
        <v>24</v>
      </c>
      <c r="D147" t="s">
        <v>29</v>
      </c>
      <c r="E147" t="s">
        <v>88</v>
      </c>
      <c r="F147" t="s">
        <v>40</v>
      </c>
      <c r="G147" t="s">
        <v>19</v>
      </c>
      <c r="H147" s="2">
        <v>45517</v>
      </c>
      <c r="I147" s="3">
        <v>280</v>
      </c>
      <c r="J147">
        <v>9</v>
      </c>
      <c r="K147" t="s">
        <v>26</v>
      </c>
      <c r="L147" t="s">
        <v>32</v>
      </c>
      <c r="M147">
        <v>3</v>
      </c>
    </row>
    <row r="148" spans="1:13">
      <c r="A148" t="s">
        <v>287</v>
      </c>
      <c r="B148" t="s">
        <v>79</v>
      </c>
      <c r="C148" t="s">
        <v>15</v>
      </c>
      <c r="D148" t="s">
        <v>49</v>
      </c>
      <c r="E148" t="s">
        <v>17</v>
      </c>
      <c r="F148" t="s">
        <v>40</v>
      </c>
      <c r="G148" t="s">
        <v>41</v>
      </c>
      <c r="H148" s="2">
        <v>45477</v>
      </c>
      <c r="I148" s="3">
        <v>360</v>
      </c>
      <c r="J148">
        <v>11</v>
      </c>
      <c r="K148" t="s">
        <v>26</v>
      </c>
      <c r="L148" t="s">
        <v>32</v>
      </c>
      <c r="M148">
        <v>4</v>
      </c>
    </row>
    <row r="149" spans="1:13">
      <c r="A149" t="s">
        <v>288</v>
      </c>
      <c r="B149" t="s">
        <v>289</v>
      </c>
      <c r="C149" t="s">
        <v>35</v>
      </c>
      <c r="D149" t="s">
        <v>49</v>
      </c>
      <c r="E149" t="s">
        <v>30</v>
      </c>
      <c r="F149" t="s">
        <v>18</v>
      </c>
      <c r="G149" t="s">
        <v>19</v>
      </c>
      <c r="H149" s="2">
        <v>45402</v>
      </c>
      <c r="I149" s="3">
        <v>795</v>
      </c>
      <c r="J149">
        <v>44</v>
      </c>
      <c r="K149" t="s">
        <v>26</v>
      </c>
      <c r="L149" t="s">
        <v>32</v>
      </c>
      <c r="M149">
        <v>3</v>
      </c>
    </row>
    <row r="150" spans="1:13">
      <c r="A150" t="s">
        <v>290</v>
      </c>
      <c r="B150" t="s">
        <v>291</v>
      </c>
      <c r="C150" t="s">
        <v>24</v>
      </c>
      <c r="D150" t="s">
        <v>49</v>
      </c>
      <c r="E150" t="s">
        <v>88</v>
      </c>
      <c r="F150" t="s">
        <v>60</v>
      </c>
      <c r="G150" t="s">
        <v>41</v>
      </c>
      <c r="H150" s="2">
        <v>45330</v>
      </c>
      <c r="I150" s="3">
        <v>365</v>
      </c>
      <c r="J150">
        <v>11</v>
      </c>
      <c r="K150" t="s">
        <v>26</v>
      </c>
      <c r="L150" t="s">
        <v>32</v>
      </c>
      <c r="M150">
        <v>2</v>
      </c>
    </row>
    <row r="151" spans="1:13">
      <c r="A151" t="s">
        <v>292</v>
      </c>
      <c r="B151" t="s">
        <v>172</v>
      </c>
      <c r="C151" t="s">
        <v>35</v>
      </c>
      <c r="D151" t="s">
        <v>25</v>
      </c>
      <c r="E151" t="s">
        <v>17</v>
      </c>
      <c r="F151" t="s">
        <v>46</v>
      </c>
      <c r="G151" t="s">
        <v>31</v>
      </c>
      <c r="H151" s="2">
        <v>45327</v>
      </c>
      <c r="I151" s="3">
        <v>320</v>
      </c>
      <c r="J151">
        <v>19</v>
      </c>
      <c r="K151" t="s">
        <v>26</v>
      </c>
      <c r="L151" t="s">
        <v>50</v>
      </c>
      <c r="M151">
        <v>3</v>
      </c>
    </row>
    <row r="152" spans="1:13">
      <c r="A152" t="s">
        <v>293</v>
      </c>
      <c r="B152" t="s">
        <v>184</v>
      </c>
      <c r="C152" t="s">
        <v>24</v>
      </c>
      <c r="D152" t="s">
        <v>25</v>
      </c>
      <c r="E152" t="s">
        <v>53</v>
      </c>
      <c r="F152" t="s">
        <v>60</v>
      </c>
      <c r="G152" t="s">
        <v>41</v>
      </c>
      <c r="H152" s="2">
        <v>46172</v>
      </c>
      <c r="I152" s="3">
        <v>475</v>
      </c>
      <c r="J152">
        <v>21</v>
      </c>
      <c r="K152" t="s">
        <v>26</v>
      </c>
      <c r="L152" t="s">
        <v>21</v>
      </c>
      <c r="M152">
        <v>3</v>
      </c>
    </row>
    <row r="153" spans="1:13">
      <c r="A153" t="s">
        <v>294</v>
      </c>
      <c r="B153" t="s">
        <v>295</v>
      </c>
      <c r="C153" t="s">
        <v>24</v>
      </c>
      <c r="D153" t="s">
        <v>16</v>
      </c>
      <c r="E153" t="s">
        <v>39</v>
      </c>
      <c r="F153" t="s">
        <v>60</v>
      </c>
      <c r="G153" t="s">
        <v>31</v>
      </c>
      <c r="H153" s="2">
        <v>45905</v>
      </c>
      <c r="I153" s="3">
        <v>235</v>
      </c>
      <c r="J153">
        <v>14</v>
      </c>
      <c r="K153" t="s">
        <v>26</v>
      </c>
      <c r="L153" t="s">
        <v>21</v>
      </c>
      <c r="M153">
        <v>5</v>
      </c>
    </row>
    <row r="154" spans="1:13">
      <c r="A154" t="s">
        <v>296</v>
      </c>
      <c r="B154" t="s">
        <v>297</v>
      </c>
      <c r="C154" t="s">
        <v>35</v>
      </c>
      <c r="D154" t="s">
        <v>45</v>
      </c>
      <c r="E154" t="s">
        <v>30</v>
      </c>
      <c r="F154" t="s">
        <v>18</v>
      </c>
      <c r="G154" t="s">
        <v>31</v>
      </c>
      <c r="H154" s="2">
        <v>45480</v>
      </c>
      <c r="I154" s="3">
        <v>580</v>
      </c>
      <c r="J154">
        <v>50</v>
      </c>
      <c r="K154" t="s">
        <v>26</v>
      </c>
      <c r="L154" t="s">
        <v>32</v>
      </c>
      <c r="M154">
        <v>3</v>
      </c>
    </row>
    <row r="155" spans="1:13">
      <c r="A155" t="s">
        <v>298</v>
      </c>
      <c r="B155" t="s">
        <v>177</v>
      </c>
      <c r="C155" t="s">
        <v>35</v>
      </c>
      <c r="D155" t="s">
        <v>59</v>
      </c>
      <c r="E155" t="s">
        <v>53</v>
      </c>
      <c r="F155" t="s">
        <v>46</v>
      </c>
      <c r="G155" t="s">
        <v>31</v>
      </c>
      <c r="H155" s="2">
        <v>45778</v>
      </c>
      <c r="I155" s="3">
        <v>200</v>
      </c>
      <c r="J155">
        <v>8</v>
      </c>
      <c r="K155" t="s">
        <v>26</v>
      </c>
      <c r="L155" t="s">
        <v>50</v>
      </c>
      <c r="M155">
        <v>2</v>
      </c>
    </row>
    <row r="156" spans="1:13">
      <c r="A156" t="s">
        <v>299</v>
      </c>
      <c r="B156" t="s">
        <v>300</v>
      </c>
      <c r="C156" t="s">
        <v>44</v>
      </c>
      <c r="D156" t="s">
        <v>25</v>
      </c>
      <c r="E156" t="s">
        <v>56</v>
      </c>
      <c r="F156" t="s">
        <v>40</v>
      </c>
      <c r="G156" t="s">
        <v>41</v>
      </c>
      <c r="H156" s="2">
        <v>45310</v>
      </c>
      <c r="I156" s="3">
        <v>300</v>
      </c>
      <c r="J156">
        <v>1</v>
      </c>
      <c r="K156" t="s">
        <v>26</v>
      </c>
      <c r="L156" t="s">
        <v>32</v>
      </c>
      <c r="M156">
        <v>4</v>
      </c>
    </row>
    <row r="157" spans="1:13">
      <c r="A157" t="s">
        <v>301</v>
      </c>
      <c r="B157" t="s">
        <v>100</v>
      </c>
      <c r="C157" t="s">
        <v>24</v>
      </c>
      <c r="D157" t="s">
        <v>16</v>
      </c>
      <c r="E157" t="s">
        <v>53</v>
      </c>
      <c r="F157" t="s">
        <v>36</v>
      </c>
      <c r="G157" t="s">
        <v>19</v>
      </c>
      <c r="H157" s="2">
        <v>46107</v>
      </c>
      <c r="I157" s="3">
        <v>380</v>
      </c>
      <c r="J157">
        <v>9</v>
      </c>
      <c r="K157" t="s">
        <v>26</v>
      </c>
      <c r="L157" t="s">
        <v>32</v>
      </c>
      <c r="M157">
        <v>3</v>
      </c>
    </row>
    <row r="158" spans="1:13">
      <c r="A158" t="s">
        <v>302</v>
      </c>
      <c r="B158" t="s">
        <v>191</v>
      </c>
      <c r="C158" t="s">
        <v>35</v>
      </c>
      <c r="D158" t="s">
        <v>16</v>
      </c>
      <c r="E158" t="s">
        <v>56</v>
      </c>
      <c r="F158" t="s">
        <v>46</v>
      </c>
      <c r="G158" t="s">
        <v>41</v>
      </c>
      <c r="H158" s="2">
        <v>45558</v>
      </c>
      <c r="I158" s="3">
        <v>450</v>
      </c>
      <c r="J158">
        <v>15</v>
      </c>
      <c r="K158" t="s">
        <v>26</v>
      </c>
      <c r="L158" t="s">
        <v>50</v>
      </c>
      <c r="M158">
        <v>4</v>
      </c>
    </row>
    <row r="159" spans="1:13">
      <c r="A159" t="s">
        <v>303</v>
      </c>
      <c r="B159" t="s">
        <v>304</v>
      </c>
      <c r="C159" t="s">
        <v>24</v>
      </c>
      <c r="D159" t="s">
        <v>25</v>
      </c>
      <c r="E159" t="s">
        <v>17</v>
      </c>
      <c r="F159" t="s">
        <v>40</v>
      </c>
      <c r="G159" t="s">
        <v>41</v>
      </c>
      <c r="H159" s="2">
        <v>45483</v>
      </c>
      <c r="I159" s="3">
        <v>310</v>
      </c>
      <c r="J159">
        <v>3</v>
      </c>
      <c r="K159" t="s">
        <v>26</v>
      </c>
      <c r="L159" t="s">
        <v>50</v>
      </c>
      <c r="M159">
        <v>4</v>
      </c>
    </row>
    <row r="160" spans="1:13">
      <c r="A160" t="s">
        <v>305</v>
      </c>
      <c r="B160" t="s">
        <v>306</v>
      </c>
      <c r="C160" t="s">
        <v>24</v>
      </c>
      <c r="D160" t="s">
        <v>49</v>
      </c>
      <c r="E160" t="s">
        <v>30</v>
      </c>
      <c r="F160" t="s">
        <v>60</v>
      </c>
      <c r="G160" t="s">
        <v>19</v>
      </c>
      <c r="H160" s="2">
        <v>46151</v>
      </c>
      <c r="I160" s="3">
        <v>435</v>
      </c>
      <c r="J160">
        <v>20</v>
      </c>
      <c r="K160" t="s">
        <v>20</v>
      </c>
      <c r="L160" t="s">
        <v>32</v>
      </c>
      <c r="M160">
        <v>3</v>
      </c>
    </row>
    <row r="161" spans="1:13">
      <c r="A161" t="s">
        <v>307</v>
      </c>
      <c r="B161" t="s">
        <v>308</v>
      </c>
      <c r="C161" t="s">
        <v>24</v>
      </c>
      <c r="D161" t="s">
        <v>25</v>
      </c>
      <c r="E161" t="s">
        <v>17</v>
      </c>
      <c r="F161" t="s">
        <v>18</v>
      </c>
      <c r="G161" t="s">
        <v>41</v>
      </c>
      <c r="H161" s="2">
        <v>45504</v>
      </c>
      <c r="I161" s="3">
        <v>545</v>
      </c>
      <c r="J161">
        <v>61</v>
      </c>
      <c r="K161" t="s">
        <v>26</v>
      </c>
      <c r="L161" t="s">
        <v>32</v>
      </c>
      <c r="M161">
        <v>3</v>
      </c>
    </row>
    <row r="162" spans="1:13">
      <c r="A162" t="s">
        <v>309</v>
      </c>
      <c r="B162" t="s">
        <v>310</v>
      </c>
      <c r="C162" t="s">
        <v>15</v>
      </c>
      <c r="D162" t="s">
        <v>45</v>
      </c>
      <c r="E162" t="s">
        <v>56</v>
      </c>
      <c r="F162" t="s">
        <v>18</v>
      </c>
      <c r="G162" t="s">
        <v>19</v>
      </c>
      <c r="H162" s="2">
        <v>45782</v>
      </c>
      <c r="I162" s="3">
        <v>815</v>
      </c>
      <c r="J162">
        <v>74</v>
      </c>
      <c r="K162" t="s">
        <v>26</v>
      </c>
      <c r="L162" t="s">
        <v>32</v>
      </c>
      <c r="M162">
        <v>4</v>
      </c>
    </row>
    <row r="163" spans="1:13">
      <c r="A163" t="s">
        <v>311</v>
      </c>
      <c r="B163" t="s">
        <v>312</v>
      </c>
      <c r="C163" t="s">
        <v>24</v>
      </c>
      <c r="D163" t="s">
        <v>25</v>
      </c>
      <c r="E163" t="s">
        <v>56</v>
      </c>
      <c r="F163" t="s">
        <v>36</v>
      </c>
      <c r="G163" t="s">
        <v>19</v>
      </c>
      <c r="H163" s="2">
        <v>45508</v>
      </c>
      <c r="I163" s="3">
        <v>340</v>
      </c>
      <c r="J163">
        <v>18</v>
      </c>
      <c r="K163" t="s">
        <v>26</v>
      </c>
      <c r="L163" t="s">
        <v>50</v>
      </c>
      <c r="M163">
        <v>2</v>
      </c>
    </row>
    <row r="164" spans="1:13">
      <c r="A164" t="s">
        <v>313</v>
      </c>
      <c r="B164" t="s">
        <v>75</v>
      </c>
      <c r="C164" t="s">
        <v>35</v>
      </c>
      <c r="D164" t="s">
        <v>45</v>
      </c>
      <c r="E164" t="s">
        <v>88</v>
      </c>
      <c r="F164" t="s">
        <v>36</v>
      </c>
      <c r="G164" t="s">
        <v>41</v>
      </c>
      <c r="H164" s="2">
        <v>45458</v>
      </c>
      <c r="I164" s="3">
        <v>605</v>
      </c>
      <c r="J164">
        <v>23</v>
      </c>
      <c r="K164" t="s">
        <v>26</v>
      </c>
      <c r="L164" t="s">
        <v>32</v>
      </c>
      <c r="M164">
        <v>4</v>
      </c>
    </row>
    <row r="165" spans="1:13">
      <c r="A165" t="s">
        <v>314</v>
      </c>
      <c r="B165" t="s">
        <v>216</v>
      </c>
      <c r="C165" t="s">
        <v>15</v>
      </c>
      <c r="D165" t="s">
        <v>59</v>
      </c>
      <c r="E165" t="s">
        <v>88</v>
      </c>
      <c r="F165" t="s">
        <v>60</v>
      </c>
      <c r="G165" t="s">
        <v>31</v>
      </c>
      <c r="H165" s="2">
        <v>45839</v>
      </c>
      <c r="I165" s="3">
        <v>160</v>
      </c>
      <c r="J165">
        <v>4</v>
      </c>
      <c r="K165" t="s">
        <v>20</v>
      </c>
      <c r="L165" t="s">
        <v>21</v>
      </c>
      <c r="M165">
        <v>5</v>
      </c>
    </row>
    <row r="166" spans="1:13">
      <c r="A166" t="s">
        <v>315</v>
      </c>
      <c r="B166" t="s">
        <v>98</v>
      </c>
      <c r="C166" t="s">
        <v>24</v>
      </c>
      <c r="D166" t="s">
        <v>49</v>
      </c>
      <c r="E166" t="s">
        <v>30</v>
      </c>
      <c r="F166" t="s">
        <v>40</v>
      </c>
      <c r="G166" t="s">
        <v>31</v>
      </c>
      <c r="H166" s="2">
        <v>45773</v>
      </c>
      <c r="I166" s="3">
        <v>350</v>
      </c>
      <c r="J166">
        <v>21</v>
      </c>
      <c r="K166" t="s">
        <v>26</v>
      </c>
      <c r="L166" t="s">
        <v>21</v>
      </c>
      <c r="M166">
        <v>4</v>
      </c>
    </row>
    <row r="167" spans="1:13">
      <c r="A167" t="s">
        <v>316</v>
      </c>
      <c r="B167" t="s">
        <v>106</v>
      </c>
      <c r="C167" t="s">
        <v>44</v>
      </c>
      <c r="D167" t="s">
        <v>29</v>
      </c>
      <c r="E167" t="s">
        <v>53</v>
      </c>
      <c r="F167" t="s">
        <v>60</v>
      </c>
      <c r="G167" t="s">
        <v>19</v>
      </c>
      <c r="H167" s="2">
        <v>45642</v>
      </c>
      <c r="I167" s="3">
        <v>175</v>
      </c>
      <c r="J167">
        <v>1</v>
      </c>
      <c r="K167" t="s">
        <v>26</v>
      </c>
      <c r="L167" t="s">
        <v>32</v>
      </c>
      <c r="M167">
        <v>4</v>
      </c>
    </row>
    <row r="168" spans="1:13">
      <c r="A168" t="s">
        <v>317</v>
      </c>
      <c r="B168" t="s">
        <v>94</v>
      </c>
      <c r="C168" t="s">
        <v>44</v>
      </c>
      <c r="D168" t="s">
        <v>29</v>
      </c>
      <c r="E168" t="s">
        <v>56</v>
      </c>
      <c r="F168" t="s">
        <v>46</v>
      </c>
      <c r="G168" t="s">
        <v>31</v>
      </c>
      <c r="H168" s="2">
        <v>45746</v>
      </c>
      <c r="I168" s="3">
        <v>185</v>
      </c>
      <c r="J168">
        <v>0</v>
      </c>
      <c r="K168" t="s">
        <v>26</v>
      </c>
      <c r="L168" t="s">
        <v>32</v>
      </c>
      <c r="M168">
        <v>4</v>
      </c>
    </row>
    <row r="169" spans="1:13">
      <c r="A169" t="s">
        <v>318</v>
      </c>
      <c r="B169" t="s">
        <v>260</v>
      </c>
      <c r="C169" t="s">
        <v>24</v>
      </c>
      <c r="D169" t="s">
        <v>25</v>
      </c>
      <c r="E169" t="s">
        <v>17</v>
      </c>
      <c r="F169" t="s">
        <v>46</v>
      </c>
      <c r="G169" t="s">
        <v>41</v>
      </c>
      <c r="H169" s="2">
        <v>45876</v>
      </c>
      <c r="I169" s="3">
        <v>355</v>
      </c>
      <c r="J169">
        <v>19</v>
      </c>
      <c r="K169" t="s">
        <v>26</v>
      </c>
      <c r="L169" t="s">
        <v>32</v>
      </c>
      <c r="M169">
        <v>4</v>
      </c>
    </row>
    <row r="170" spans="1:13">
      <c r="A170" t="s">
        <v>319</v>
      </c>
      <c r="B170" t="s">
        <v>216</v>
      </c>
      <c r="C170" t="s">
        <v>35</v>
      </c>
      <c r="D170" t="s">
        <v>29</v>
      </c>
      <c r="E170" t="s">
        <v>39</v>
      </c>
      <c r="F170" t="s">
        <v>18</v>
      </c>
      <c r="G170" t="s">
        <v>31</v>
      </c>
      <c r="H170" s="2">
        <v>45886</v>
      </c>
      <c r="I170" s="3">
        <v>425</v>
      </c>
      <c r="J170">
        <v>39</v>
      </c>
      <c r="K170" t="s">
        <v>26</v>
      </c>
      <c r="L170" t="s">
        <v>50</v>
      </c>
      <c r="M170">
        <v>4</v>
      </c>
    </row>
    <row r="171" spans="1:13">
      <c r="A171" t="s">
        <v>320</v>
      </c>
      <c r="B171" t="s">
        <v>252</v>
      </c>
      <c r="C171" t="s">
        <v>44</v>
      </c>
      <c r="D171" t="s">
        <v>16</v>
      </c>
      <c r="E171" t="s">
        <v>39</v>
      </c>
      <c r="F171" t="s">
        <v>46</v>
      </c>
      <c r="G171" t="s">
        <v>41</v>
      </c>
      <c r="H171" s="2">
        <v>45382</v>
      </c>
      <c r="I171" s="3">
        <v>360</v>
      </c>
      <c r="J171">
        <v>13</v>
      </c>
      <c r="K171" t="s">
        <v>26</v>
      </c>
      <c r="L171" t="s">
        <v>32</v>
      </c>
      <c r="M171">
        <v>4</v>
      </c>
    </row>
    <row r="172" spans="1:13">
      <c r="A172" t="s">
        <v>321</v>
      </c>
      <c r="B172" t="s">
        <v>142</v>
      </c>
      <c r="C172" t="s">
        <v>15</v>
      </c>
      <c r="D172" t="s">
        <v>25</v>
      </c>
      <c r="E172" t="s">
        <v>56</v>
      </c>
      <c r="F172" t="s">
        <v>60</v>
      </c>
      <c r="G172" t="s">
        <v>31</v>
      </c>
      <c r="H172" s="2">
        <v>45339</v>
      </c>
      <c r="I172" s="3">
        <v>220</v>
      </c>
      <c r="J172">
        <v>15</v>
      </c>
      <c r="K172" t="s">
        <v>20</v>
      </c>
      <c r="L172" t="s">
        <v>32</v>
      </c>
      <c r="M172">
        <v>3</v>
      </c>
    </row>
    <row r="173" spans="1:13">
      <c r="A173" t="s">
        <v>322</v>
      </c>
      <c r="B173" t="s">
        <v>167</v>
      </c>
      <c r="C173" t="s">
        <v>24</v>
      </c>
      <c r="D173" t="s">
        <v>25</v>
      </c>
      <c r="E173" t="s">
        <v>88</v>
      </c>
      <c r="F173" t="s">
        <v>40</v>
      </c>
      <c r="G173" t="s">
        <v>31</v>
      </c>
      <c r="H173" s="2">
        <v>45707</v>
      </c>
      <c r="I173" s="3">
        <v>125</v>
      </c>
      <c r="J173">
        <v>2</v>
      </c>
      <c r="K173" t="s">
        <v>26</v>
      </c>
      <c r="L173" t="s">
        <v>32</v>
      </c>
      <c r="M173">
        <v>2</v>
      </c>
    </row>
    <row r="174" spans="1:13">
      <c r="A174" t="s">
        <v>323</v>
      </c>
      <c r="B174" t="s">
        <v>324</v>
      </c>
      <c r="C174" t="s">
        <v>44</v>
      </c>
      <c r="D174" t="s">
        <v>16</v>
      </c>
      <c r="E174" t="s">
        <v>17</v>
      </c>
      <c r="F174" t="s">
        <v>46</v>
      </c>
      <c r="G174" t="s">
        <v>41</v>
      </c>
      <c r="H174" s="2">
        <v>45415</v>
      </c>
      <c r="I174" s="3">
        <v>440</v>
      </c>
      <c r="J174">
        <v>16</v>
      </c>
      <c r="K174" t="s">
        <v>26</v>
      </c>
      <c r="L174" t="s">
        <v>21</v>
      </c>
      <c r="M174">
        <v>4</v>
      </c>
    </row>
    <row r="175" spans="1:13">
      <c r="A175" t="s">
        <v>325</v>
      </c>
      <c r="B175" t="s">
        <v>208</v>
      </c>
      <c r="C175" t="s">
        <v>24</v>
      </c>
      <c r="D175" t="s">
        <v>16</v>
      </c>
      <c r="E175" t="s">
        <v>30</v>
      </c>
      <c r="F175" t="s">
        <v>46</v>
      </c>
      <c r="G175" t="s">
        <v>19</v>
      </c>
      <c r="H175" s="2">
        <v>46187</v>
      </c>
      <c r="I175" s="3">
        <v>330</v>
      </c>
      <c r="J175">
        <v>13</v>
      </c>
      <c r="K175" t="s">
        <v>20</v>
      </c>
      <c r="L175" t="s">
        <v>32</v>
      </c>
      <c r="M175">
        <v>5</v>
      </c>
    </row>
    <row r="176" spans="1:13">
      <c r="A176" t="s">
        <v>326</v>
      </c>
      <c r="B176" t="s">
        <v>52</v>
      </c>
      <c r="C176" t="s">
        <v>44</v>
      </c>
      <c r="D176" t="s">
        <v>49</v>
      </c>
      <c r="E176" t="s">
        <v>39</v>
      </c>
      <c r="F176" t="s">
        <v>60</v>
      </c>
      <c r="G176" t="s">
        <v>31</v>
      </c>
      <c r="H176" s="2">
        <v>45868</v>
      </c>
      <c r="I176" s="3">
        <v>140</v>
      </c>
      <c r="J176">
        <v>7</v>
      </c>
      <c r="K176" t="s">
        <v>26</v>
      </c>
      <c r="L176" t="s">
        <v>21</v>
      </c>
      <c r="M176">
        <v>4</v>
      </c>
    </row>
    <row r="177" spans="1:13">
      <c r="A177" t="s">
        <v>327</v>
      </c>
      <c r="B177" t="s">
        <v>193</v>
      </c>
      <c r="C177" t="s">
        <v>24</v>
      </c>
      <c r="D177" t="s">
        <v>25</v>
      </c>
      <c r="E177" t="s">
        <v>17</v>
      </c>
      <c r="F177" t="s">
        <v>46</v>
      </c>
      <c r="G177" t="s">
        <v>31</v>
      </c>
      <c r="H177" s="2">
        <v>45555</v>
      </c>
      <c r="I177" s="3">
        <v>320</v>
      </c>
      <c r="J177">
        <v>25</v>
      </c>
      <c r="K177" t="s">
        <v>26</v>
      </c>
      <c r="L177" t="s">
        <v>32</v>
      </c>
      <c r="M177">
        <v>4</v>
      </c>
    </row>
    <row r="178" spans="1:13">
      <c r="A178" t="s">
        <v>328</v>
      </c>
      <c r="B178" t="s">
        <v>329</v>
      </c>
      <c r="C178" t="s">
        <v>44</v>
      </c>
      <c r="D178" t="s">
        <v>25</v>
      </c>
      <c r="E178" t="s">
        <v>39</v>
      </c>
      <c r="F178" t="s">
        <v>40</v>
      </c>
      <c r="G178" t="s">
        <v>31</v>
      </c>
      <c r="H178" s="2">
        <v>46030</v>
      </c>
      <c r="I178" s="3">
        <v>210</v>
      </c>
      <c r="J178">
        <v>16</v>
      </c>
      <c r="K178" t="s">
        <v>26</v>
      </c>
      <c r="L178" t="s">
        <v>32</v>
      </c>
      <c r="M178">
        <v>3</v>
      </c>
    </row>
    <row r="179" spans="1:13">
      <c r="A179" t="s">
        <v>330</v>
      </c>
      <c r="B179" t="s">
        <v>90</v>
      </c>
      <c r="C179" t="s">
        <v>35</v>
      </c>
      <c r="D179" t="s">
        <v>25</v>
      </c>
      <c r="E179" t="s">
        <v>56</v>
      </c>
      <c r="F179" t="s">
        <v>18</v>
      </c>
      <c r="G179" t="s">
        <v>31</v>
      </c>
      <c r="H179" s="2">
        <v>45681</v>
      </c>
      <c r="I179" s="3">
        <v>610</v>
      </c>
      <c r="J179">
        <v>46</v>
      </c>
      <c r="K179" t="s">
        <v>20</v>
      </c>
      <c r="L179" t="s">
        <v>32</v>
      </c>
      <c r="M179">
        <v>4</v>
      </c>
    </row>
    <row r="180" spans="1:13">
      <c r="A180" t="s">
        <v>331</v>
      </c>
      <c r="B180" t="s">
        <v>300</v>
      </c>
      <c r="C180" t="s">
        <v>15</v>
      </c>
      <c r="D180" t="s">
        <v>16</v>
      </c>
      <c r="E180" t="s">
        <v>17</v>
      </c>
      <c r="F180" t="s">
        <v>40</v>
      </c>
      <c r="G180" t="s">
        <v>41</v>
      </c>
      <c r="H180" s="2">
        <v>46025</v>
      </c>
      <c r="I180" s="3">
        <v>420</v>
      </c>
      <c r="J180">
        <v>18</v>
      </c>
      <c r="K180" t="s">
        <v>26</v>
      </c>
      <c r="L180" t="s">
        <v>50</v>
      </c>
      <c r="M180">
        <v>3</v>
      </c>
    </row>
    <row r="181" spans="1:13">
      <c r="A181" t="s">
        <v>332</v>
      </c>
      <c r="B181" t="s">
        <v>333</v>
      </c>
      <c r="C181" t="s">
        <v>15</v>
      </c>
      <c r="D181" t="s">
        <v>16</v>
      </c>
      <c r="E181" t="s">
        <v>17</v>
      </c>
      <c r="F181" t="s">
        <v>46</v>
      </c>
      <c r="G181" t="s">
        <v>19</v>
      </c>
      <c r="H181" s="2">
        <v>46038</v>
      </c>
      <c r="I181" s="3">
        <v>125</v>
      </c>
      <c r="J181">
        <v>2</v>
      </c>
      <c r="K181" t="s">
        <v>20</v>
      </c>
      <c r="L181" t="s">
        <v>32</v>
      </c>
      <c r="M181">
        <v>3</v>
      </c>
    </row>
    <row r="182" spans="1:13">
      <c r="A182" t="s">
        <v>334</v>
      </c>
      <c r="B182" t="s">
        <v>335</v>
      </c>
      <c r="C182" t="s">
        <v>15</v>
      </c>
      <c r="D182" t="s">
        <v>16</v>
      </c>
      <c r="E182" t="s">
        <v>53</v>
      </c>
      <c r="F182" t="s">
        <v>40</v>
      </c>
      <c r="G182" t="s">
        <v>31</v>
      </c>
      <c r="H182" s="2">
        <v>45415</v>
      </c>
      <c r="I182" s="3">
        <v>210</v>
      </c>
      <c r="J182">
        <v>23</v>
      </c>
      <c r="K182" t="s">
        <v>26</v>
      </c>
      <c r="L182" t="s">
        <v>21</v>
      </c>
      <c r="M182">
        <v>4</v>
      </c>
    </row>
    <row r="183" spans="1:13">
      <c r="A183" t="s">
        <v>336</v>
      </c>
      <c r="B183" t="s">
        <v>248</v>
      </c>
      <c r="C183" t="s">
        <v>35</v>
      </c>
      <c r="D183" t="s">
        <v>25</v>
      </c>
      <c r="E183" t="s">
        <v>53</v>
      </c>
      <c r="F183" t="s">
        <v>36</v>
      </c>
      <c r="G183" t="s">
        <v>41</v>
      </c>
      <c r="H183" s="2">
        <v>45706</v>
      </c>
      <c r="I183" s="3">
        <v>625</v>
      </c>
      <c r="J183">
        <v>28</v>
      </c>
      <c r="K183" t="s">
        <v>26</v>
      </c>
      <c r="L183" t="s">
        <v>21</v>
      </c>
      <c r="M183">
        <v>4</v>
      </c>
    </row>
    <row r="184" spans="1:13">
      <c r="A184" t="s">
        <v>337</v>
      </c>
      <c r="B184" t="s">
        <v>122</v>
      </c>
      <c r="C184" t="s">
        <v>15</v>
      </c>
      <c r="D184" t="s">
        <v>25</v>
      </c>
      <c r="E184" t="s">
        <v>39</v>
      </c>
      <c r="F184" t="s">
        <v>46</v>
      </c>
      <c r="G184" t="s">
        <v>19</v>
      </c>
      <c r="H184" s="2">
        <v>45379</v>
      </c>
      <c r="I184" s="3">
        <v>360</v>
      </c>
      <c r="J184">
        <v>15</v>
      </c>
      <c r="K184" t="s">
        <v>20</v>
      </c>
      <c r="L184" t="s">
        <v>32</v>
      </c>
      <c r="M184">
        <v>4</v>
      </c>
    </row>
    <row r="185" spans="1:13">
      <c r="A185" t="s">
        <v>338</v>
      </c>
      <c r="B185" t="s">
        <v>151</v>
      </c>
      <c r="C185" t="s">
        <v>35</v>
      </c>
      <c r="D185" t="s">
        <v>49</v>
      </c>
      <c r="E185" t="s">
        <v>30</v>
      </c>
      <c r="F185" t="s">
        <v>18</v>
      </c>
      <c r="G185" t="s">
        <v>19</v>
      </c>
      <c r="H185" s="2">
        <v>45737</v>
      </c>
      <c r="I185" s="3">
        <v>510</v>
      </c>
      <c r="J185">
        <v>67</v>
      </c>
      <c r="K185" t="s">
        <v>26</v>
      </c>
      <c r="L185" t="s">
        <v>32</v>
      </c>
      <c r="M185">
        <v>4</v>
      </c>
    </row>
    <row r="186" spans="1:13">
      <c r="A186" t="s">
        <v>339</v>
      </c>
      <c r="B186" t="s">
        <v>340</v>
      </c>
      <c r="C186" t="s">
        <v>35</v>
      </c>
      <c r="D186" t="s">
        <v>45</v>
      </c>
      <c r="E186" t="s">
        <v>39</v>
      </c>
      <c r="F186" t="s">
        <v>60</v>
      </c>
      <c r="G186" t="s">
        <v>41</v>
      </c>
      <c r="H186" s="2">
        <v>45694</v>
      </c>
      <c r="I186" s="3">
        <v>335</v>
      </c>
      <c r="J186">
        <v>17</v>
      </c>
      <c r="K186" t="s">
        <v>26</v>
      </c>
      <c r="L186" t="s">
        <v>32</v>
      </c>
      <c r="M186">
        <v>5</v>
      </c>
    </row>
    <row r="187" spans="1:13">
      <c r="A187" t="s">
        <v>341</v>
      </c>
      <c r="B187" t="s">
        <v>342</v>
      </c>
      <c r="C187" t="s">
        <v>24</v>
      </c>
      <c r="D187" t="s">
        <v>59</v>
      </c>
      <c r="E187" t="s">
        <v>88</v>
      </c>
      <c r="F187" t="s">
        <v>46</v>
      </c>
      <c r="G187" t="s">
        <v>41</v>
      </c>
      <c r="H187" s="2">
        <v>46170</v>
      </c>
      <c r="I187" s="3">
        <v>435</v>
      </c>
      <c r="J187">
        <v>24</v>
      </c>
      <c r="K187" t="s">
        <v>20</v>
      </c>
      <c r="L187" t="s">
        <v>50</v>
      </c>
      <c r="M187">
        <v>4</v>
      </c>
    </row>
    <row r="188" spans="1:13">
      <c r="A188" t="s">
        <v>343</v>
      </c>
      <c r="B188" t="s">
        <v>68</v>
      </c>
      <c r="C188" t="s">
        <v>35</v>
      </c>
      <c r="D188" t="s">
        <v>25</v>
      </c>
      <c r="E188" t="s">
        <v>17</v>
      </c>
      <c r="F188" t="s">
        <v>40</v>
      </c>
      <c r="G188" t="s">
        <v>41</v>
      </c>
      <c r="H188" s="2">
        <v>45384</v>
      </c>
      <c r="I188" s="3">
        <v>585</v>
      </c>
      <c r="J188">
        <v>20</v>
      </c>
      <c r="K188" t="s">
        <v>26</v>
      </c>
      <c r="L188" t="s">
        <v>32</v>
      </c>
      <c r="M188">
        <v>2</v>
      </c>
    </row>
    <row r="189" spans="1:13">
      <c r="A189" t="s">
        <v>344</v>
      </c>
      <c r="B189" t="s">
        <v>345</v>
      </c>
      <c r="C189" t="s">
        <v>15</v>
      </c>
      <c r="D189" t="s">
        <v>29</v>
      </c>
      <c r="E189" t="s">
        <v>17</v>
      </c>
      <c r="F189" t="s">
        <v>60</v>
      </c>
      <c r="G189" t="s">
        <v>31</v>
      </c>
      <c r="H189" s="2">
        <v>45894</v>
      </c>
      <c r="I189" s="3">
        <v>450</v>
      </c>
      <c r="J189">
        <v>20</v>
      </c>
      <c r="K189" t="s">
        <v>26</v>
      </c>
      <c r="L189" t="s">
        <v>32</v>
      </c>
      <c r="M189">
        <v>4</v>
      </c>
    </row>
    <row r="190" spans="1:13">
      <c r="A190" t="s">
        <v>346</v>
      </c>
      <c r="B190" t="s">
        <v>58</v>
      </c>
      <c r="C190" t="s">
        <v>44</v>
      </c>
      <c r="D190" t="s">
        <v>29</v>
      </c>
      <c r="E190" t="s">
        <v>88</v>
      </c>
      <c r="F190" t="s">
        <v>60</v>
      </c>
      <c r="G190" t="s">
        <v>41</v>
      </c>
      <c r="H190" s="2">
        <v>45829</v>
      </c>
      <c r="I190" s="3">
        <v>345</v>
      </c>
      <c r="J190">
        <v>6</v>
      </c>
      <c r="K190" t="s">
        <v>20</v>
      </c>
      <c r="L190" t="s">
        <v>32</v>
      </c>
      <c r="M190">
        <v>4</v>
      </c>
    </row>
    <row r="191" spans="1:13">
      <c r="A191" t="s">
        <v>347</v>
      </c>
      <c r="B191" t="s">
        <v>172</v>
      </c>
      <c r="C191" t="s">
        <v>24</v>
      </c>
      <c r="D191" t="s">
        <v>49</v>
      </c>
      <c r="E191" t="s">
        <v>56</v>
      </c>
      <c r="F191" t="s">
        <v>18</v>
      </c>
      <c r="G191" t="s">
        <v>31</v>
      </c>
      <c r="H191" s="2">
        <v>45914</v>
      </c>
      <c r="I191" s="3">
        <v>515</v>
      </c>
      <c r="J191">
        <v>39</v>
      </c>
      <c r="K191" t="s">
        <v>20</v>
      </c>
      <c r="L191" t="s">
        <v>50</v>
      </c>
      <c r="M191">
        <v>4</v>
      </c>
    </row>
    <row r="192" spans="1:13">
      <c r="A192" t="s">
        <v>348</v>
      </c>
      <c r="B192" t="s">
        <v>349</v>
      </c>
      <c r="C192" t="s">
        <v>15</v>
      </c>
      <c r="D192" t="s">
        <v>29</v>
      </c>
      <c r="E192" t="s">
        <v>56</v>
      </c>
      <c r="F192" t="s">
        <v>60</v>
      </c>
      <c r="G192" t="s">
        <v>31</v>
      </c>
      <c r="H192" s="2">
        <v>46175</v>
      </c>
      <c r="I192" s="3">
        <v>170</v>
      </c>
      <c r="J192">
        <v>16</v>
      </c>
      <c r="K192" t="s">
        <v>26</v>
      </c>
      <c r="L192" t="s">
        <v>21</v>
      </c>
      <c r="M192">
        <v>4</v>
      </c>
    </row>
    <row r="193" spans="1:13">
      <c r="A193" t="s">
        <v>350</v>
      </c>
      <c r="B193" t="s">
        <v>351</v>
      </c>
      <c r="C193" t="s">
        <v>35</v>
      </c>
      <c r="D193" t="s">
        <v>45</v>
      </c>
      <c r="E193" t="s">
        <v>17</v>
      </c>
      <c r="F193" t="s">
        <v>18</v>
      </c>
      <c r="G193" t="s">
        <v>41</v>
      </c>
      <c r="H193" s="2">
        <v>45496</v>
      </c>
      <c r="I193" s="3">
        <v>470</v>
      </c>
      <c r="J193">
        <v>20</v>
      </c>
      <c r="K193" t="s">
        <v>20</v>
      </c>
      <c r="L193" t="s">
        <v>32</v>
      </c>
      <c r="M193">
        <v>5</v>
      </c>
    </row>
    <row r="194" spans="1:13">
      <c r="A194" t="s">
        <v>352</v>
      </c>
      <c r="B194" t="s">
        <v>353</v>
      </c>
      <c r="C194" t="s">
        <v>15</v>
      </c>
      <c r="D194" t="s">
        <v>16</v>
      </c>
      <c r="E194" t="s">
        <v>53</v>
      </c>
      <c r="F194" t="s">
        <v>36</v>
      </c>
      <c r="G194" t="s">
        <v>19</v>
      </c>
      <c r="H194" s="2">
        <v>45693</v>
      </c>
      <c r="I194" s="3">
        <v>290</v>
      </c>
      <c r="J194">
        <v>8</v>
      </c>
      <c r="K194" t="s">
        <v>26</v>
      </c>
      <c r="L194" t="s">
        <v>32</v>
      </c>
      <c r="M194">
        <v>5</v>
      </c>
    </row>
    <row r="195" spans="1:13">
      <c r="A195" t="s">
        <v>354</v>
      </c>
      <c r="B195" t="s">
        <v>355</v>
      </c>
      <c r="C195" t="s">
        <v>44</v>
      </c>
      <c r="D195" t="s">
        <v>16</v>
      </c>
      <c r="E195" t="s">
        <v>53</v>
      </c>
      <c r="F195" t="s">
        <v>46</v>
      </c>
      <c r="G195" t="s">
        <v>31</v>
      </c>
      <c r="H195" s="2">
        <v>45766</v>
      </c>
      <c r="I195" s="3">
        <v>130</v>
      </c>
      <c r="J195">
        <v>4</v>
      </c>
      <c r="K195" t="s">
        <v>26</v>
      </c>
      <c r="L195" t="s">
        <v>50</v>
      </c>
      <c r="M195">
        <v>2</v>
      </c>
    </row>
    <row r="196" spans="1:13">
      <c r="A196" t="s">
        <v>356</v>
      </c>
      <c r="B196" t="s">
        <v>140</v>
      </c>
      <c r="C196" t="s">
        <v>35</v>
      </c>
      <c r="D196" t="s">
        <v>59</v>
      </c>
      <c r="E196" t="s">
        <v>88</v>
      </c>
      <c r="F196" t="s">
        <v>36</v>
      </c>
      <c r="G196" t="s">
        <v>31</v>
      </c>
      <c r="H196" s="2">
        <v>45657</v>
      </c>
      <c r="I196" s="3">
        <v>390</v>
      </c>
      <c r="J196">
        <v>22</v>
      </c>
      <c r="K196" t="s">
        <v>26</v>
      </c>
      <c r="L196" t="s">
        <v>32</v>
      </c>
      <c r="M196">
        <v>3</v>
      </c>
    </row>
    <row r="197" spans="1:13">
      <c r="A197" t="s">
        <v>357</v>
      </c>
      <c r="B197" t="s">
        <v>358</v>
      </c>
      <c r="C197" t="s">
        <v>15</v>
      </c>
      <c r="D197" t="s">
        <v>16</v>
      </c>
      <c r="E197" t="s">
        <v>17</v>
      </c>
      <c r="F197" t="s">
        <v>60</v>
      </c>
      <c r="G197" t="s">
        <v>41</v>
      </c>
      <c r="H197" s="2">
        <v>45893</v>
      </c>
      <c r="I197" s="3">
        <v>590</v>
      </c>
      <c r="J197">
        <v>20</v>
      </c>
      <c r="K197" t="s">
        <v>26</v>
      </c>
      <c r="L197" t="s">
        <v>32</v>
      </c>
      <c r="M197">
        <v>5</v>
      </c>
    </row>
    <row r="198" spans="1:13">
      <c r="A198" t="s">
        <v>359</v>
      </c>
      <c r="B198" t="s">
        <v>104</v>
      </c>
      <c r="C198" t="s">
        <v>24</v>
      </c>
      <c r="D198" t="s">
        <v>16</v>
      </c>
      <c r="E198" t="s">
        <v>88</v>
      </c>
      <c r="F198" t="s">
        <v>40</v>
      </c>
      <c r="G198" t="s">
        <v>41</v>
      </c>
      <c r="H198" s="2">
        <v>45893</v>
      </c>
      <c r="I198" s="3">
        <v>410</v>
      </c>
      <c r="J198">
        <v>10</v>
      </c>
      <c r="K198" t="s">
        <v>26</v>
      </c>
      <c r="L198" t="s">
        <v>21</v>
      </c>
      <c r="M198">
        <v>4</v>
      </c>
    </row>
    <row r="199" spans="1:13">
      <c r="A199" t="s">
        <v>360</v>
      </c>
      <c r="B199" t="s">
        <v>361</v>
      </c>
      <c r="C199" t="s">
        <v>24</v>
      </c>
      <c r="D199" t="s">
        <v>49</v>
      </c>
      <c r="E199" t="s">
        <v>53</v>
      </c>
      <c r="F199" t="s">
        <v>18</v>
      </c>
      <c r="G199" t="s">
        <v>41</v>
      </c>
      <c r="H199" s="2">
        <v>45460</v>
      </c>
      <c r="I199" s="3">
        <v>625</v>
      </c>
      <c r="J199">
        <v>58</v>
      </c>
      <c r="K199" t="s">
        <v>26</v>
      </c>
      <c r="L199" t="s">
        <v>32</v>
      </c>
      <c r="M199">
        <v>4</v>
      </c>
    </row>
    <row r="200" spans="1:13">
      <c r="A200" t="s">
        <v>362</v>
      </c>
      <c r="B200" t="s">
        <v>129</v>
      </c>
      <c r="C200" t="s">
        <v>24</v>
      </c>
      <c r="D200" t="s">
        <v>16</v>
      </c>
      <c r="E200" t="s">
        <v>53</v>
      </c>
      <c r="F200" t="s">
        <v>60</v>
      </c>
      <c r="G200" t="s">
        <v>41</v>
      </c>
      <c r="H200" s="2">
        <v>45807</v>
      </c>
      <c r="I200" s="3">
        <v>415</v>
      </c>
      <c r="J200">
        <v>16</v>
      </c>
      <c r="K200" t="s">
        <v>20</v>
      </c>
      <c r="L200" t="s">
        <v>32</v>
      </c>
      <c r="M200">
        <v>4</v>
      </c>
    </row>
    <row r="201" spans="1:13">
      <c r="A201" t="s">
        <v>363</v>
      </c>
      <c r="B201" t="s">
        <v>193</v>
      </c>
      <c r="C201" t="s">
        <v>15</v>
      </c>
      <c r="D201" t="s">
        <v>25</v>
      </c>
      <c r="E201" t="s">
        <v>39</v>
      </c>
      <c r="F201" t="s">
        <v>18</v>
      </c>
      <c r="G201" t="s">
        <v>31</v>
      </c>
      <c r="H201" s="2">
        <v>45566</v>
      </c>
      <c r="I201" s="3">
        <v>370</v>
      </c>
      <c r="J201">
        <v>69</v>
      </c>
      <c r="K201" t="s">
        <v>26</v>
      </c>
      <c r="L201" t="s">
        <v>32</v>
      </c>
      <c r="M201">
        <v>5</v>
      </c>
    </row>
    <row r="202" spans="1:13">
      <c r="A202" t="s">
        <v>364</v>
      </c>
      <c r="B202" t="s">
        <v>262</v>
      </c>
      <c r="C202" t="s">
        <v>44</v>
      </c>
      <c r="D202" t="s">
        <v>25</v>
      </c>
      <c r="E202" t="s">
        <v>39</v>
      </c>
      <c r="F202" t="s">
        <v>60</v>
      </c>
      <c r="G202" t="s">
        <v>19</v>
      </c>
      <c r="H202" s="2">
        <v>46180</v>
      </c>
      <c r="I202" s="3">
        <v>245</v>
      </c>
      <c r="J202">
        <v>13</v>
      </c>
      <c r="K202" t="s">
        <v>26</v>
      </c>
      <c r="L202" t="s">
        <v>32</v>
      </c>
      <c r="M202">
        <v>4</v>
      </c>
    </row>
    <row r="203" spans="1:13">
      <c r="A203" t="s">
        <v>365</v>
      </c>
      <c r="B203" t="s">
        <v>366</v>
      </c>
      <c r="C203" t="s">
        <v>24</v>
      </c>
      <c r="D203" t="s">
        <v>552</v>
      </c>
      <c r="E203" t="s">
        <v>53</v>
      </c>
      <c r="F203" t="s">
        <v>36</v>
      </c>
      <c r="G203" t="s">
        <v>31</v>
      </c>
      <c r="H203" s="2">
        <v>45836</v>
      </c>
      <c r="I203" s="3">
        <v>485</v>
      </c>
      <c r="J203">
        <v>51</v>
      </c>
      <c r="K203" t="s">
        <v>26</v>
      </c>
      <c r="L203" t="s">
        <v>32</v>
      </c>
      <c r="M203">
        <v>2</v>
      </c>
    </row>
    <row r="204" spans="1:13">
      <c r="A204" t="s">
        <v>367</v>
      </c>
      <c r="B204" t="s">
        <v>368</v>
      </c>
      <c r="C204" t="s">
        <v>44</v>
      </c>
      <c r="D204" t="s">
        <v>49</v>
      </c>
      <c r="E204" t="s">
        <v>88</v>
      </c>
      <c r="F204" t="s">
        <v>40</v>
      </c>
      <c r="G204" t="s">
        <v>41</v>
      </c>
      <c r="H204" s="2">
        <v>46155</v>
      </c>
      <c r="I204" s="3">
        <v>345</v>
      </c>
      <c r="J204">
        <v>4</v>
      </c>
      <c r="K204" t="s">
        <v>26</v>
      </c>
      <c r="L204" t="s">
        <v>32</v>
      </c>
      <c r="M204">
        <v>4</v>
      </c>
    </row>
    <row r="205" spans="1:13">
      <c r="A205" t="s">
        <v>369</v>
      </c>
      <c r="B205" t="s">
        <v>370</v>
      </c>
      <c r="C205" t="s">
        <v>15</v>
      </c>
      <c r="D205" t="s">
        <v>45</v>
      </c>
      <c r="E205" t="s">
        <v>30</v>
      </c>
      <c r="F205" t="s">
        <v>18</v>
      </c>
      <c r="G205" t="s">
        <v>31</v>
      </c>
      <c r="H205" s="2">
        <v>45867</v>
      </c>
      <c r="I205" s="3">
        <v>1290</v>
      </c>
      <c r="J205">
        <v>67</v>
      </c>
      <c r="K205" t="s">
        <v>26</v>
      </c>
      <c r="L205" t="s">
        <v>32</v>
      </c>
      <c r="M205">
        <v>2</v>
      </c>
    </row>
    <row r="206" spans="1:13">
      <c r="A206" t="s">
        <v>371</v>
      </c>
      <c r="B206" t="s">
        <v>312</v>
      </c>
      <c r="C206" t="s">
        <v>24</v>
      </c>
      <c r="D206" t="s">
        <v>16</v>
      </c>
      <c r="E206" t="s">
        <v>88</v>
      </c>
      <c r="F206" t="s">
        <v>46</v>
      </c>
      <c r="G206" t="s">
        <v>41</v>
      </c>
      <c r="H206" s="2">
        <v>45704</v>
      </c>
      <c r="I206" s="3">
        <v>230</v>
      </c>
      <c r="J206">
        <v>3</v>
      </c>
      <c r="K206" t="s">
        <v>26</v>
      </c>
      <c r="L206" t="s">
        <v>32</v>
      </c>
      <c r="M206">
        <v>4</v>
      </c>
    </row>
    <row r="207" spans="1:13">
      <c r="A207" t="s">
        <v>372</v>
      </c>
      <c r="B207" t="s">
        <v>361</v>
      </c>
      <c r="C207" t="s">
        <v>15</v>
      </c>
      <c r="D207" t="s">
        <v>16</v>
      </c>
      <c r="E207" t="s">
        <v>39</v>
      </c>
      <c r="F207" t="s">
        <v>60</v>
      </c>
      <c r="G207" t="s">
        <v>41</v>
      </c>
      <c r="H207" s="2">
        <v>45731</v>
      </c>
      <c r="I207" s="3">
        <v>330</v>
      </c>
      <c r="J207">
        <v>12</v>
      </c>
      <c r="K207" t="s">
        <v>26</v>
      </c>
      <c r="L207" t="s">
        <v>32</v>
      </c>
      <c r="M207">
        <v>4</v>
      </c>
    </row>
    <row r="208" spans="1:13">
      <c r="A208" t="s">
        <v>373</v>
      </c>
      <c r="B208" t="s">
        <v>374</v>
      </c>
      <c r="C208" t="s">
        <v>15</v>
      </c>
      <c r="D208" t="s">
        <v>25</v>
      </c>
      <c r="E208" t="s">
        <v>39</v>
      </c>
      <c r="F208" t="s">
        <v>36</v>
      </c>
      <c r="G208" t="s">
        <v>41</v>
      </c>
      <c r="H208" s="2">
        <v>45543</v>
      </c>
      <c r="I208" s="3">
        <v>1340</v>
      </c>
      <c r="J208">
        <v>76</v>
      </c>
      <c r="K208" t="s">
        <v>26</v>
      </c>
      <c r="L208" t="s">
        <v>21</v>
      </c>
      <c r="M208">
        <v>4</v>
      </c>
    </row>
    <row r="209" spans="1:13">
      <c r="A209" t="s">
        <v>375</v>
      </c>
      <c r="B209" t="s">
        <v>376</v>
      </c>
      <c r="C209" t="s">
        <v>44</v>
      </c>
      <c r="D209" t="s">
        <v>16</v>
      </c>
      <c r="E209" t="s">
        <v>17</v>
      </c>
      <c r="F209" t="s">
        <v>36</v>
      </c>
      <c r="G209" t="s">
        <v>19</v>
      </c>
      <c r="H209" s="2">
        <v>45989</v>
      </c>
      <c r="I209" s="3">
        <v>700</v>
      </c>
      <c r="J209">
        <v>74</v>
      </c>
      <c r="K209" t="s">
        <v>20</v>
      </c>
      <c r="L209" t="s">
        <v>21</v>
      </c>
      <c r="M209">
        <v>4</v>
      </c>
    </row>
    <row r="210" spans="1:13">
      <c r="A210" t="s">
        <v>377</v>
      </c>
      <c r="B210" t="s">
        <v>116</v>
      </c>
      <c r="C210" t="s">
        <v>35</v>
      </c>
      <c r="D210" t="s">
        <v>29</v>
      </c>
      <c r="E210" t="s">
        <v>39</v>
      </c>
      <c r="F210" t="s">
        <v>40</v>
      </c>
      <c r="G210" t="s">
        <v>31</v>
      </c>
      <c r="H210" s="2">
        <v>45651</v>
      </c>
      <c r="I210" s="3">
        <v>300</v>
      </c>
      <c r="J210">
        <v>21</v>
      </c>
      <c r="K210" t="s">
        <v>26</v>
      </c>
      <c r="L210" t="s">
        <v>32</v>
      </c>
      <c r="M210">
        <v>3</v>
      </c>
    </row>
    <row r="211" spans="1:13">
      <c r="A211" t="s">
        <v>378</v>
      </c>
      <c r="B211" t="s">
        <v>379</v>
      </c>
      <c r="C211" t="s">
        <v>35</v>
      </c>
      <c r="D211" t="s">
        <v>45</v>
      </c>
      <c r="E211" t="s">
        <v>56</v>
      </c>
      <c r="F211" t="s">
        <v>18</v>
      </c>
      <c r="G211" t="s">
        <v>19</v>
      </c>
      <c r="H211" s="2">
        <v>46083</v>
      </c>
      <c r="I211" s="3">
        <v>480</v>
      </c>
      <c r="J211">
        <v>40</v>
      </c>
      <c r="K211" t="s">
        <v>26</v>
      </c>
      <c r="L211" t="s">
        <v>50</v>
      </c>
      <c r="M211">
        <v>3</v>
      </c>
    </row>
    <row r="212" spans="1:13">
      <c r="A212" t="s">
        <v>380</v>
      </c>
      <c r="B212" t="s">
        <v>381</v>
      </c>
      <c r="C212" t="s">
        <v>44</v>
      </c>
      <c r="D212" t="s">
        <v>49</v>
      </c>
      <c r="E212" t="s">
        <v>88</v>
      </c>
      <c r="F212" t="s">
        <v>46</v>
      </c>
      <c r="G212" t="s">
        <v>19</v>
      </c>
      <c r="H212" s="2">
        <v>45366</v>
      </c>
      <c r="I212" s="3">
        <v>160</v>
      </c>
      <c r="J212">
        <v>7</v>
      </c>
      <c r="K212" t="s">
        <v>26</v>
      </c>
      <c r="L212" t="s">
        <v>50</v>
      </c>
      <c r="M212">
        <v>4</v>
      </c>
    </row>
    <row r="213" spans="1:13">
      <c r="A213" t="s">
        <v>382</v>
      </c>
      <c r="B213" t="s">
        <v>383</v>
      </c>
      <c r="C213" t="s">
        <v>15</v>
      </c>
      <c r="D213" t="s">
        <v>45</v>
      </c>
      <c r="E213" t="s">
        <v>56</v>
      </c>
      <c r="F213" t="s">
        <v>40</v>
      </c>
      <c r="G213" t="s">
        <v>19</v>
      </c>
      <c r="H213" s="2">
        <v>45469</v>
      </c>
      <c r="I213" s="3">
        <v>280</v>
      </c>
      <c r="J213">
        <v>6</v>
      </c>
      <c r="K213" t="s">
        <v>26</v>
      </c>
      <c r="L213" t="s">
        <v>32</v>
      </c>
      <c r="M213">
        <v>4</v>
      </c>
    </row>
    <row r="214" spans="1:13">
      <c r="A214" t="s">
        <v>384</v>
      </c>
      <c r="B214" t="s">
        <v>55</v>
      </c>
      <c r="C214" t="s">
        <v>24</v>
      </c>
      <c r="D214" t="s">
        <v>29</v>
      </c>
      <c r="E214" t="s">
        <v>88</v>
      </c>
      <c r="F214" t="s">
        <v>36</v>
      </c>
      <c r="G214" t="s">
        <v>19</v>
      </c>
      <c r="H214" s="2">
        <v>45344</v>
      </c>
      <c r="I214" s="3">
        <v>605</v>
      </c>
      <c r="J214">
        <v>67</v>
      </c>
      <c r="K214" t="s">
        <v>26</v>
      </c>
      <c r="L214" t="s">
        <v>21</v>
      </c>
      <c r="M214">
        <v>5</v>
      </c>
    </row>
    <row r="215" spans="1:13">
      <c r="A215" t="s">
        <v>385</v>
      </c>
      <c r="B215" t="s">
        <v>179</v>
      </c>
      <c r="C215" t="s">
        <v>24</v>
      </c>
      <c r="D215" t="s">
        <v>16</v>
      </c>
      <c r="E215" t="s">
        <v>53</v>
      </c>
      <c r="F215" t="s">
        <v>60</v>
      </c>
      <c r="G215" t="s">
        <v>41</v>
      </c>
      <c r="H215" s="2">
        <v>45670</v>
      </c>
      <c r="I215" s="3">
        <v>340</v>
      </c>
      <c r="J215">
        <v>6</v>
      </c>
      <c r="K215" t="s">
        <v>20</v>
      </c>
      <c r="L215" t="s">
        <v>21</v>
      </c>
      <c r="M215">
        <v>5</v>
      </c>
    </row>
    <row r="216" spans="1:13">
      <c r="A216" t="s">
        <v>386</v>
      </c>
      <c r="B216" t="s">
        <v>94</v>
      </c>
      <c r="C216" t="s">
        <v>35</v>
      </c>
      <c r="D216" t="s">
        <v>16</v>
      </c>
      <c r="E216" t="s">
        <v>88</v>
      </c>
      <c r="F216" t="s">
        <v>40</v>
      </c>
      <c r="G216" t="s">
        <v>41</v>
      </c>
      <c r="H216" s="2">
        <v>45328</v>
      </c>
      <c r="I216" s="3">
        <v>405</v>
      </c>
      <c r="J216">
        <v>18</v>
      </c>
      <c r="K216" t="s">
        <v>20</v>
      </c>
      <c r="L216" t="s">
        <v>32</v>
      </c>
      <c r="M216">
        <v>5</v>
      </c>
    </row>
    <row r="217" spans="1:13">
      <c r="A217" t="s">
        <v>387</v>
      </c>
      <c r="B217" t="s">
        <v>94</v>
      </c>
      <c r="C217" t="s">
        <v>15</v>
      </c>
      <c r="D217" t="s">
        <v>49</v>
      </c>
      <c r="E217" t="s">
        <v>53</v>
      </c>
      <c r="F217" t="s">
        <v>18</v>
      </c>
      <c r="G217" t="s">
        <v>31</v>
      </c>
      <c r="H217" s="2">
        <v>45561</v>
      </c>
      <c r="I217" s="3">
        <v>205</v>
      </c>
      <c r="J217">
        <v>10</v>
      </c>
      <c r="K217" t="s">
        <v>26</v>
      </c>
      <c r="L217" t="s">
        <v>32</v>
      </c>
      <c r="M217">
        <v>3</v>
      </c>
    </row>
    <row r="218" spans="1:13">
      <c r="A218" t="s">
        <v>388</v>
      </c>
      <c r="B218" t="s">
        <v>87</v>
      </c>
      <c r="C218" t="s">
        <v>15</v>
      </c>
      <c r="D218" t="s">
        <v>16</v>
      </c>
      <c r="E218" t="s">
        <v>88</v>
      </c>
      <c r="F218" t="s">
        <v>60</v>
      </c>
      <c r="G218" t="s">
        <v>31</v>
      </c>
      <c r="H218" s="2">
        <v>45854</v>
      </c>
      <c r="I218" s="3">
        <v>215</v>
      </c>
      <c r="J218">
        <v>18</v>
      </c>
      <c r="K218" t="s">
        <v>26</v>
      </c>
      <c r="L218" t="s">
        <v>32</v>
      </c>
      <c r="M218">
        <v>2</v>
      </c>
    </row>
    <row r="219" spans="1:13">
      <c r="A219" t="s">
        <v>389</v>
      </c>
      <c r="B219" t="s">
        <v>390</v>
      </c>
      <c r="C219" t="s">
        <v>44</v>
      </c>
      <c r="D219" t="s">
        <v>29</v>
      </c>
      <c r="E219" t="s">
        <v>56</v>
      </c>
      <c r="F219" t="s">
        <v>18</v>
      </c>
      <c r="G219" t="s">
        <v>31</v>
      </c>
      <c r="H219" s="2">
        <v>45360</v>
      </c>
      <c r="I219" s="3">
        <v>575</v>
      </c>
      <c r="J219">
        <v>37</v>
      </c>
      <c r="K219" t="s">
        <v>26</v>
      </c>
      <c r="L219" t="s">
        <v>21</v>
      </c>
      <c r="M219">
        <v>2</v>
      </c>
    </row>
    <row r="220" spans="1:13">
      <c r="A220" t="s">
        <v>391</v>
      </c>
      <c r="B220" t="s">
        <v>392</v>
      </c>
      <c r="C220" t="s">
        <v>44</v>
      </c>
      <c r="D220" t="s">
        <v>16</v>
      </c>
      <c r="E220" t="s">
        <v>17</v>
      </c>
      <c r="F220" t="s">
        <v>40</v>
      </c>
      <c r="G220" t="s">
        <v>31</v>
      </c>
      <c r="H220" s="2">
        <v>46007</v>
      </c>
      <c r="I220" s="3">
        <v>120</v>
      </c>
      <c r="J220">
        <v>1</v>
      </c>
      <c r="K220" t="s">
        <v>26</v>
      </c>
      <c r="L220" t="s">
        <v>32</v>
      </c>
      <c r="M220">
        <v>3</v>
      </c>
    </row>
    <row r="221" spans="1:13">
      <c r="A221" t="s">
        <v>393</v>
      </c>
      <c r="B221" t="s">
        <v>236</v>
      </c>
      <c r="C221" t="s">
        <v>15</v>
      </c>
      <c r="D221" t="s">
        <v>49</v>
      </c>
      <c r="E221" t="s">
        <v>88</v>
      </c>
      <c r="F221" t="s">
        <v>60</v>
      </c>
      <c r="G221" t="s">
        <v>19</v>
      </c>
      <c r="H221" s="2">
        <v>45527</v>
      </c>
      <c r="I221" s="3">
        <v>170</v>
      </c>
      <c r="J221">
        <v>1</v>
      </c>
      <c r="K221" t="s">
        <v>26</v>
      </c>
      <c r="L221" t="s">
        <v>21</v>
      </c>
      <c r="M221">
        <v>4</v>
      </c>
    </row>
    <row r="222" spans="1:13">
      <c r="A222" t="s">
        <v>394</v>
      </c>
      <c r="B222" t="s">
        <v>395</v>
      </c>
      <c r="C222" t="s">
        <v>24</v>
      </c>
      <c r="D222" t="s">
        <v>45</v>
      </c>
      <c r="E222" t="s">
        <v>56</v>
      </c>
      <c r="F222" t="s">
        <v>18</v>
      </c>
      <c r="G222" t="s">
        <v>41</v>
      </c>
      <c r="H222" s="2">
        <v>46180</v>
      </c>
      <c r="I222" s="3">
        <v>690</v>
      </c>
      <c r="J222">
        <v>77</v>
      </c>
      <c r="K222" t="s">
        <v>20</v>
      </c>
      <c r="L222" t="s">
        <v>50</v>
      </c>
      <c r="M222">
        <v>5</v>
      </c>
    </row>
    <row r="223" spans="1:13">
      <c r="A223" t="s">
        <v>396</v>
      </c>
      <c r="B223" t="s">
        <v>277</v>
      </c>
      <c r="C223" t="s">
        <v>35</v>
      </c>
      <c r="D223" t="s">
        <v>45</v>
      </c>
      <c r="E223" t="s">
        <v>56</v>
      </c>
      <c r="F223" t="s">
        <v>36</v>
      </c>
      <c r="G223" t="s">
        <v>31</v>
      </c>
      <c r="H223" s="2">
        <v>46050</v>
      </c>
      <c r="I223" s="3">
        <v>200</v>
      </c>
      <c r="J223">
        <v>8</v>
      </c>
      <c r="K223" t="s">
        <v>26</v>
      </c>
      <c r="L223" t="s">
        <v>32</v>
      </c>
      <c r="M223">
        <v>5</v>
      </c>
    </row>
    <row r="224" spans="1:13">
      <c r="A224" t="s">
        <v>397</v>
      </c>
      <c r="B224" t="s">
        <v>398</v>
      </c>
      <c r="C224" t="s">
        <v>24</v>
      </c>
      <c r="D224" t="s">
        <v>25</v>
      </c>
      <c r="E224" t="s">
        <v>39</v>
      </c>
      <c r="F224" t="s">
        <v>46</v>
      </c>
      <c r="G224" t="s">
        <v>31</v>
      </c>
      <c r="H224" s="2">
        <v>45457</v>
      </c>
      <c r="I224" s="3">
        <v>120</v>
      </c>
      <c r="J224">
        <v>7</v>
      </c>
      <c r="K224" t="s">
        <v>26</v>
      </c>
      <c r="L224" t="s">
        <v>32</v>
      </c>
      <c r="M224">
        <v>3</v>
      </c>
    </row>
    <row r="225" spans="1:13">
      <c r="A225" t="s">
        <v>399</v>
      </c>
      <c r="B225" t="s">
        <v>125</v>
      </c>
      <c r="C225" t="s">
        <v>44</v>
      </c>
      <c r="D225" t="s">
        <v>49</v>
      </c>
      <c r="E225" t="s">
        <v>39</v>
      </c>
      <c r="F225" t="s">
        <v>60</v>
      </c>
      <c r="G225" t="s">
        <v>41</v>
      </c>
      <c r="H225" s="2">
        <v>45465</v>
      </c>
      <c r="I225" s="3">
        <v>525</v>
      </c>
      <c r="J225">
        <v>17</v>
      </c>
      <c r="K225" t="s">
        <v>26</v>
      </c>
      <c r="L225" t="s">
        <v>32</v>
      </c>
      <c r="M225">
        <v>5</v>
      </c>
    </row>
    <row r="226" spans="1:13">
      <c r="A226" t="s">
        <v>400</v>
      </c>
      <c r="B226" t="s">
        <v>401</v>
      </c>
      <c r="C226" t="s">
        <v>15</v>
      </c>
      <c r="D226" t="s">
        <v>29</v>
      </c>
      <c r="E226" t="s">
        <v>56</v>
      </c>
      <c r="F226" t="s">
        <v>18</v>
      </c>
      <c r="G226" t="s">
        <v>19</v>
      </c>
      <c r="H226" s="2">
        <v>45739</v>
      </c>
      <c r="I226" s="3">
        <v>480</v>
      </c>
      <c r="J226">
        <v>20</v>
      </c>
      <c r="K226" t="s">
        <v>26</v>
      </c>
      <c r="L226" t="s">
        <v>32</v>
      </c>
      <c r="M226">
        <v>4</v>
      </c>
    </row>
    <row r="227" spans="1:13">
      <c r="A227" t="s">
        <v>402</v>
      </c>
      <c r="B227" t="s">
        <v>92</v>
      </c>
      <c r="C227" t="s">
        <v>35</v>
      </c>
      <c r="D227" t="s">
        <v>29</v>
      </c>
      <c r="E227" t="s">
        <v>39</v>
      </c>
      <c r="F227" t="s">
        <v>36</v>
      </c>
      <c r="G227" t="s">
        <v>19</v>
      </c>
      <c r="H227" s="2">
        <v>45384</v>
      </c>
      <c r="I227" s="3">
        <v>770</v>
      </c>
      <c r="J227">
        <v>75</v>
      </c>
      <c r="K227" t="s">
        <v>20</v>
      </c>
      <c r="L227" t="s">
        <v>32</v>
      </c>
      <c r="M227">
        <v>4</v>
      </c>
    </row>
    <row r="228" spans="1:13">
      <c r="A228" t="s">
        <v>403</v>
      </c>
      <c r="B228" t="s">
        <v>64</v>
      </c>
      <c r="C228" t="s">
        <v>24</v>
      </c>
      <c r="D228" t="s">
        <v>25</v>
      </c>
      <c r="E228" t="s">
        <v>39</v>
      </c>
      <c r="F228" t="s">
        <v>40</v>
      </c>
      <c r="G228" t="s">
        <v>19</v>
      </c>
      <c r="H228" s="2">
        <v>45785</v>
      </c>
      <c r="I228" s="3">
        <v>245</v>
      </c>
      <c r="J228">
        <v>8</v>
      </c>
      <c r="K228" t="s">
        <v>26</v>
      </c>
      <c r="L228" t="s">
        <v>32</v>
      </c>
      <c r="M228">
        <v>3</v>
      </c>
    </row>
    <row r="229" spans="1:13">
      <c r="A229" t="s">
        <v>404</v>
      </c>
      <c r="B229" t="s">
        <v>405</v>
      </c>
      <c r="C229" t="s">
        <v>24</v>
      </c>
      <c r="D229" t="s">
        <v>59</v>
      </c>
      <c r="E229" t="s">
        <v>88</v>
      </c>
      <c r="F229" t="s">
        <v>18</v>
      </c>
      <c r="G229" t="s">
        <v>19</v>
      </c>
      <c r="H229" s="2">
        <v>45902</v>
      </c>
      <c r="I229" s="3">
        <v>1385</v>
      </c>
      <c r="J229">
        <v>76</v>
      </c>
      <c r="K229" t="s">
        <v>26</v>
      </c>
      <c r="L229" t="s">
        <v>32</v>
      </c>
      <c r="M229">
        <v>4</v>
      </c>
    </row>
    <row r="230" spans="1:13">
      <c r="A230" t="s">
        <v>406</v>
      </c>
      <c r="B230" t="s">
        <v>291</v>
      </c>
      <c r="C230" t="s">
        <v>35</v>
      </c>
      <c r="D230" t="s">
        <v>29</v>
      </c>
      <c r="E230" t="s">
        <v>56</v>
      </c>
      <c r="F230" t="s">
        <v>18</v>
      </c>
      <c r="G230" t="s">
        <v>31</v>
      </c>
      <c r="H230" s="2">
        <v>45339</v>
      </c>
      <c r="I230" s="3">
        <v>415</v>
      </c>
      <c r="J230">
        <v>23</v>
      </c>
      <c r="K230" t="s">
        <v>26</v>
      </c>
      <c r="L230" t="s">
        <v>21</v>
      </c>
      <c r="M230">
        <v>3</v>
      </c>
    </row>
    <row r="231" spans="1:13">
      <c r="A231" t="s">
        <v>407</v>
      </c>
      <c r="B231" t="s">
        <v>73</v>
      </c>
      <c r="C231" t="s">
        <v>35</v>
      </c>
      <c r="D231" t="s">
        <v>49</v>
      </c>
      <c r="E231" t="s">
        <v>53</v>
      </c>
      <c r="F231" t="s">
        <v>46</v>
      </c>
      <c r="G231" t="s">
        <v>31</v>
      </c>
      <c r="H231" s="2">
        <v>46062</v>
      </c>
      <c r="I231" s="3">
        <v>325</v>
      </c>
      <c r="J231">
        <v>19</v>
      </c>
      <c r="K231" t="s">
        <v>20</v>
      </c>
      <c r="L231" t="s">
        <v>32</v>
      </c>
      <c r="M231">
        <v>5</v>
      </c>
    </row>
    <row r="232" spans="1:13">
      <c r="A232" t="s">
        <v>408</v>
      </c>
      <c r="B232" t="s">
        <v>409</v>
      </c>
      <c r="C232" t="s">
        <v>44</v>
      </c>
      <c r="D232" t="s">
        <v>25</v>
      </c>
      <c r="E232" t="s">
        <v>30</v>
      </c>
      <c r="F232" t="s">
        <v>40</v>
      </c>
      <c r="G232" t="s">
        <v>19</v>
      </c>
      <c r="H232" s="2">
        <v>45730</v>
      </c>
      <c r="I232" s="3">
        <v>275</v>
      </c>
      <c r="J232">
        <v>13</v>
      </c>
      <c r="K232" t="s">
        <v>26</v>
      </c>
      <c r="L232" t="s">
        <v>50</v>
      </c>
      <c r="M232">
        <v>5</v>
      </c>
    </row>
    <row r="233" spans="1:13">
      <c r="A233" t="s">
        <v>410</v>
      </c>
      <c r="B233" t="s">
        <v>90</v>
      </c>
      <c r="C233" t="s">
        <v>24</v>
      </c>
      <c r="D233" t="s">
        <v>29</v>
      </c>
      <c r="E233" t="s">
        <v>30</v>
      </c>
      <c r="F233" t="s">
        <v>46</v>
      </c>
      <c r="G233" t="s">
        <v>19</v>
      </c>
      <c r="H233" s="2">
        <v>45519</v>
      </c>
      <c r="I233" s="3">
        <v>250</v>
      </c>
      <c r="J233">
        <v>13</v>
      </c>
      <c r="K233" t="s">
        <v>26</v>
      </c>
      <c r="L233" t="s">
        <v>32</v>
      </c>
      <c r="M233">
        <v>4</v>
      </c>
    </row>
    <row r="234" spans="1:13">
      <c r="A234" t="s">
        <v>411</v>
      </c>
      <c r="B234" t="s">
        <v>122</v>
      </c>
      <c r="C234" t="s">
        <v>24</v>
      </c>
      <c r="D234" t="s">
        <v>16</v>
      </c>
      <c r="E234" t="s">
        <v>88</v>
      </c>
      <c r="F234" t="s">
        <v>36</v>
      </c>
      <c r="G234" t="s">
        <v>19</v>
      </c>
      <c r="H234" s="2">
        <v>45738</v>
      </c>
      <c r="I234" s="3">
        <v>415</v>
      </c>
      <c r="J234">
        <v>37</v>
      </c>
      <c r="K234" t="s">
        <v>26</v>
      </c>
      <c r="L234" t="s">
        <v>21</v>
      </c>
      <c r="M234">
        <v>5</v>
      </c>
    </row>
    <row r="235" spans="1:13">
      <c r="A235" t="s">
        <v>412</v>
      </c>
      <c r="B235" t="s">
        <v>118</v>
      </c>
      <c r="C235" t="s">
        <v>15</v>
      </c>
      <c r="D235" t="s">
        <v>45</v>
      </c>
      <c r="E235" t="s">
        <v>56</v>
      </c>
      <c r="F235" t="s">
        <v>18</v>
      </c>
      <c r="G235" t="s">
        <v>41</v>
      </c>
      <c r="H235" s="2">
        <v>45863</v>
      </c>
      <c r="I235" s="3">
        <v>450</v>
      </c>
      <c r="J235">
        <v>16</v>
      </c>
      <c r="K235" t="s">
        <v>26</v>
      </c>
      <c r="L235" t="s">
        <v>21</v>
      </c>
      <c r="M235">
        <v>4</v>
      </c>
    </row>
    <row r="236" spans="1:13">
      <c r="A236" t="s">
        <v>413</v>
      </c>
      <c r="B236" t="s">
        <v>198</v>
      </c>
      <c r="C236" t="s">
        <v>15</v>
      </c>
      <c r="D236" t="s">
        <v>59</v>
      </c>
      <c r="E236" t="s">
        <v>39</v>
      </c>
      <c r="F236" t="s">
        <v>40</v>
      </c>
      <c r="G236" t="s">
        <v>41</v>
      </c>
      <c r="H236" s="2">
        <v>45832</v>
      </c>
      <c r="I236" s="3">
        <v>320</v>
      </c>
      <c r="J236">
        <v>9</v>
      </c>
      <c r="K236" t="s">
        <v>20</v>
      </c>
      <c r="L236" t="s">
        <v>50</v>
      </c>
      <c r="M236">
        <v>2</v>
      </c>
    </row>
    <row r="237" spans="1:13">
      <c r="A237" t="s">
        <v>414</v>
      </c>
      <c r="B237" t="s">
        <v>281</v>
      </c>
      <c r="C237" t="s">
        <v>44</v>
      </c>
      <c r="D237" t="s">
        <v>29</v>
      </c>
      <c r="E237" t="s">
        <v>53</v>
      </c>
      <c r="F237" t="s">
        <v>60</v>
      </c>
      <c r="G237" t="s">
        <v>19</v>
      </c>
      <c r="H237" s="2">
        <v>45585</v>
      </c>
      <c r="I237" s="3">
        <v>260</v>
      </c>
      <c r="J237">
        <v>19</v>
      </c>
      <c r="K237" t="s">
        <v>26</v>
      </c>
      <c r="L237" t="s">
        <v>21</v>
      </c>
      <c r="M237">
        <v>3</v>
      </c>
    </row>
    <row r="238" spans="1:13">
      <c r="A238" t="s">
        <v>415</v>
      </c>
      <c r="B238" t="s">
        <v>120</v>
      </c>
      <c r="C238" t="s">
        <v>15</v>
      </c>
      <c r="D238" t="s">
        <v>16</v>
      </c>
      <c r="E238" t="s">
        <v>56</v>
      </c>
      <c r="F238" t="s">
        <v>18</v>
      </c>
      <c r="G238" t="s">
        <v>19</v>
      </c>
      <c r="H238" s="2">
        <v>45303</v>
      </c>
      <c r="I238" s="3">
        <v>1285</v>
      </c>
      <c r="J238">
        <v>77</v>
      </c>
      <c r="K238" t="s">
        <v>26</v>
      </c>
      <c r="L238" t="s">
        <v>21</v>
      </c>
      <c r="M238">
        <v>4</v>
      </c>
    </row>
    <row r="239" spans="1:13">
      <c r="A239" t="s">
        <v>416</v>
      </c>
      <c r="B239" t="s">
        <v>300</v>
      </c>
      <c r="C239" t="s">
        <v>44</v>
      </c>
      <c r="D239" t="s">
        <v>29</v>
      </c>
      <c r="E239" t="s">
        <v>17</v>
      </c>
      <c r="F239" t="s">
        <v>46</v>
      </c>
      <c r="G239" t="s">
        <v>41</v>
      </c>
      <c r="H239" s="2">
        <v>46108</v>
      </c>
      <c r="I239" s="3">
        <v>200</v>
      </c>
      <c r="J239">
        <v>3</v>
      </c>
      <c r="K239" t="s">
        <v>26</v>
      </c>
      <c r="L239" t="s">
        <v>32</v>
      </c>
      <c r="M239">
        <v>4</v>
      </c>
    </row>
    <row r="240" spans="1:13">
      <c r="A240" t="s">
        <v>417</v>
      </c>
      <c r="B240" t="s">
        <v>122</v>
      </c>
      <c r="C240" t="s">
        <v>24</v>
      </c>
      <c r="D240" t="s">
        <v>25</v>
      </c>
      <c r="E240" t="s">
        <v>53</v>
      </c>
      <c r="F240" t="s">
        <v>18</v>
      </c>
      <c r="G240" t="s">
        <v>19</v>
      </c>
      <c r="H240" s="2">
        <v>45358</v>
      </c>
      <c r="I240" s="3">
        <v>750</v>
      </c>
      <c r="J240">
        <v>38</v>
      </c>
      <c r="K240" t="s">
        <v>26</v>
      </c>
      <c r="L240" t="s">
        <v>32</v>
      </c>
      <c r="M240">
        <v>4</v>
      </c>
    </row>
    <row r="241" spans="1:13">
      <c r="A241" t="s">
        <v>418</v>
      </c>
      <c r="B241" t="s">
        <v>127</v>
      </c>
      <c r="C241" t="s">
        <v>44</v>
      </c>
      <c r="D241" t="s">
        <v>59</v>
      </c>
      <c r="E241" t="s">
        <v>88</v>
      </c>
      <c r="F241" t="s">
        <v>46</v>
      </c>
      <c r="G241" t="s">
        <v>19</v>
      </c>
      <c r="H241" s="2">
        <v>45516</v>
      </c>
      <c r="I241" s="3">
        <v>240</v>
      </c>
      <c r="J241">
        <v>12</v>
      </c>
      <c r="K241" t="s">
        <v>20</v>
      </c>
      <c r="L241" t="s">
        <v>32</v>
      </c>
      <c r="M241">
        <v>5</v>
      </c>
    </row>
    <row r="242" spans="1:13">
      <c r="A242" t="s">
        <v>419</v>
      </c>
      <c r="B242" t="s">
        <v>94</v>
      </c>
      <c r="C242" t="s">
        <v>44</v>
      </c>
      <c r="D242" t="s">
        <v>49</v>
      </c>
      <c r="E242" t="s">
        <v>56</v>
      </c>
      <c r="F242" t="s">
        <v>18</v>
      </c>
      <c r="G242" t="s">
        <v>31</v>
      </c>
      <c r="H242" s="2">
        <v>45440</v>
      </c>
      <c r="I242" s="3">
        <v>185</v>
      </c>
      <c r="J242">
        <v>10</v>
      </c>
      <c r="K242" t="s">
        <v>26</v>
      </c>
      <c r="L242" t="s">
        <v>50</v>
      </c>
      <c r="M242">
        <v>2</v>
      </c>
    </row>
    <row r="243" spans="1:13">
      <c r="A243" t="s">
        <v>420</v>
      </c>
      <c r="B243" t="s">
        <v>62</v>
      </c>
      <c r="C243" t="s">
        <v>15</v>
      </c>
      <c r="D243" t="s">
        <v>25</v>
      </c>
      <c r="E243" t="s">
        <v>30</v>
      </c>
      <c r="F243" t="s">
        <v>36</v>
      </c>
      <c r="G243" t="s">
        <v>19</v>
      </c>
      <c r="H243" s="2">
        <v>46023</v>
      </c>
      <c r="I243" s="3">
        <v>570</v>
      </c>
      <c r="J243">
        <v>21</v>
      </c>
      <c r="K243" t="s">
        <v>26</v>
      </c>
      <c r="L243" t="s">
        <v>32</v>
      </c>
      <c r="M243">
        <v>2</v>
      </c>
    </row>
    <row r="244" spans="1:13">
      <c r="A244" t="s">
        <v>421</v>
      </c>
      <c r="B244" t="s">
        <v>257</v>
      </c>
      <c r="C244" t="s">
        <v>44</v>
      </c>
      <c r="D244" t="s">
        <v>29</v>
      </c>
      <c r="E244" t="s">
        <v>53</v>
      </c>
      <c r="F244" t="s">
        <v>36</v>
      </c>
      <c r="G244" t="s">
        <v>19</v>
      </c>
      <c r="H244" s="2">
        <v>45823</v>
      </c>
      <c r="I244" s="3">
        <v>380</v>
      </c>
      <c r="J244">
        <v>12</v>
      </c>
      <c r="K244" t="s">
        <v>26</v>
      </c>
      <c r="L244" t="s">
        <v>50</v>
      </c>
      <c r="M244">
        <v>5</v>
      </c>
    </row>
    <row r="245" spans="1:13">
      <c r="A245" t="s">
        <v>422</v>
      </c>
      <c r="B245" t="s">
        <v>423</v>
      </c>
      <c r="C245" t="s">
        <v>15</v>
      </c>
      <c r="D245" t="s">
        <v>45</v>
      </c>
      <c r="E245" t="s">
        <v>56</v>
      </c>
      <c r="F245" t="s">
        <v>36</v>
      </c>
      <c r="G245" t="s">
        <v>19</v>
      </c>
      <c r="H245" s="2">
        <v>46181</v>
      </c>
      <c r="I245" s="3">
        <v>300</v>
      </c>
      <c r="J245">
        <v>8</v>
      </c>
      <c r="K245" t="s">
        <v>26</v>
      </c>
      <c r="L245" t="s">
        <v>32</v>
      </c>
      <c r="M245">
        <v>5</v>
      </c>
    </row>
    <row r="246" spans="1:13">
      <c r="A246" t="s">
        <v>424</v>
      </c>
      <c r="B246" t="s">
        <v>140</v>
      </c>
      <c r="C246" t="s">
        <v>35</v>
      </c>
      <c r="D246" t="s">
        <v>59</v>
      </c>
      <c r="E246" t="s">
        <v>39</v>
      </c>
      <c r="F246" t="s">
        <v>36</v>
      </c>
      <c r="G246" t="s">
        <v>31</v>
      </c>
      <c r="H246" s="2">
        <v>45583</v>
      </c>
      <c r="I246" s="3">
        <v>185</v>
      </c>
      <c r="J246">
        <v>7</v>
      </c>
      <c r="K246" t="s">
        <v>26</v>
      </c>
      <c r="L246" t="s">
        <v>32</v>
      </c>
      <c r="M246">
        <v>4</v>
      </c>
    </row>
    <row r="247" spans="1:13">
      <c r="A247" t="s">
        <v>425</v>
      </c>
      <c r="B247" t="s">
        <v>204</v>
      </c>
      <c r="C247" t="s">
        <v>24</v>
      </c>
      <c r="D247" t="s">
        <v>59</v>
      </c>
      <c r="E247" t="s">
        <v>39</v>
      </c>
      <c r="F247" t="s">
        <v>60</v>
      </c>
      <c r="G247" t="s">
        <v>41</v>
      </c>
      <c r="H247" s="2">
        <v>45324</v>
      </c>
      <c r="I247" s="3">
        <v>565</v>
      </c>
      <c r="J247">
        <v>18</v>
      </c>
      <c r="K247" t="s">
        <v>20</v>
      </c>
      <c r="L247" t="s">
        <v>32</v>
      </c>
      <c r="M247">
        <v>5</v>
      </c>
    </row>
    <row r="248" spans="1:13">
      <c r="A248" t="s">
        <v>426</v>
      </c>
      <c r="B248" t="s">
        <v>191</v>
      </c>
      <c r="C248" t="s">
        <v>24</v>
      </c>
      <c r="D248" t="s">
        <v>59</v>
      </c>
      <c r="E248" t="s">
        <v>17</v>
      </c>
      <c r="F248" t="s">
        <v>36</v>
      </c>
      <c r="G248" t="s">
        <v>19</v>
      </c>
      <c r="H248" s="2">
        <v>45325</v>
      </c>
      <c r="I248" s="3">
        <v>750</v>
      </c>
      <c r="J248">
        <v>29</v>
      </c>
      <c r="K248" t="s">
        <v>26</v>
      </c>
      <c r="L248" t="s">
        <v>32</v>
      </c>
      <c r="M248">
        <v>2</v>
      </c>
    </row>
    <row r="249" spans="1:13">
      <c r="A249" t="s">
        <v>427</v>
      </c>
      <c r="B249" t="s">
        <v>191</v>
      </c>
      <c r="C249" t="s">
        <v>44</v>
      </c>
      <c r="D249" t="s">
        <v>16</v>
      </c>
      <c r="E249" t="s">
        <v>17</v>
      </c>
      <c r="F249" t="s">
        <v>40</v>
      </c>
      <c r="G249" t="s">
        <v>31</v>
      </c>
      <c r="H249" s="2">
        <v>45843</v>
      </c>
      <c r="I249" s="3">
        <v>460</v>
      </c>
      <c r="J249">
        <v>24</v>
      </c>
      <c r="K249" t="s">
        <v>20</v>
      </c>
      <c r="L249" t="s">
        <v>50</v>
      </c>
      <c r="M249">
        <v>4</v>
      </c>
    </row>
    <row r="250" spans="1:13">
      <c r="A250" t="s">
        <v>428</v>
      </c>
      <c r="B250" t="s">
        <v>220</v>
      </c>
      <c r="C250" t="s">
        <v>15</v>
      </c>
      <c r="D250" t="s">
        <v>45</v>
      </c>
      <c r="E250" t="s">
        <v>56</v>
      </c>
      <c r="F250" t="s">
        <v>18</v>
      </c>
      <c r="G250" t="s">
        <v>31</v>
      </c>
      <c r="H250" s="2">
        <v>45346</v>
      </c>
      <c r="I250" s="3">
        <v>575</v>
      </c>
      <c r="J250">
        <v>29</v>
      </c>
      <c r="K250" t="s">
        <v>26</v>
      </c>
      <c r="L250" t="s">
        <v>50</v>
      </c>
      <c r="M250">
        <v>4</v>
      </c>
    </row>
    <row r="251" spans="1:13">
      <c r="A251" t="s">
        <v>429</v>
      </c>
      <c r="B251" t="s">
        <v>98</v>
      </c>
      <c r="C251" t="s">
        <v>35</v>
      </c>
      <c r="D251" t="s">
        <v>49</v>
      </c>
      <c r="E251" t="s">
        <v>17</v>
      </c>
      <c r="F251" t="s">
        <v>18</v>
      </c>
      <c r="G251" t="s">
        <v>31</v>
      </c>
      <c r="H251" s="2">
        <v>45675</v>
      </c>
      <c r="I251" s="3">
        <v>740</v>
      </c>
      <c r="J251">
        <v>67</v>
      </c>
      <c r="K251" t="s">
        <v>20</v>
      </c>
      <c r="L251" t="s">
        <v>32</v>
      </c>
      <c r="M251">
        <v>8</v>
      </c>
    </row>
    <row r="252" spans="1:13">
      <c r="A252" t="s">
        <v>430</v>
      </c>
      <c r="B252" t="s">
        <v>94</v>
      </c>
      <c r="C252" t="s">
        <v>15</v>
      </c>
      <c r="D252" t="s">
        <v>29</v>
      </c>
      <c r="E252" t="s">
        <v>17</v>
      </c>
      <c r="F252" t="s">
        <v>46</v>
      </c>
      <c r="G252" t="s">
        <v>41</v>
      </c>
      <c r="H252" s="2">
        <v>45660</v>
      </c>
      <c r="I252" s="3">
        <v>310</v>
      </c>
      <c r="J252">
        <v>12</v>
      </c>
      <c r="K252" t="s">
        <v>20</v>
      </c>
      <c r="L252" t="s">
        <v>32</v>
      </c>
      <c r="M252">
        <v>3</v>
      </c>
    </row>
    <row r="253" spans="1:13">
      <c r="A253" t="s">
        <v>431</v>
      </c>
      <c r="B253" t="s">
        <v>379</v>
      </c>
      <c r="C253" t="s">
        <v>15</v>
      </c>
      <c r="D253" t="s">
        <v>25</v>
      </c>
      <c r="E253" t="s">
        <v>39</v>
      </c>
      <c r="F253" t="s">
        <v>18</v>
      </c>
      <c r="G253" t="s">
        <v>31</v>
      </c>
      <c r="H253" s="2">
        <v>45954</v>
      </c>
      <c r="I253" s="3">
        <v>145</v>
      </c>
      <c r="J253">
        <v>11</v>
      </c>
      <c r="K253" t="s">
        <v>26</v>
      </c>
      <c r="L253" t="s">
        <v>32</v>
      </c>
      <c r="M253">
        <v>4</v>
      </c>
    </row>
    <row r="254" spans="1:13">
      <c r="A254" t="s">
        <v>432</v>
      </c>
      <c r="B254" t="s">
        <v>230</v>
      </c>
      <c r="C254" t="s">
        <v>15</v>
      </c>
      <c r="D254" t="s">
        <v>16</v>
      </c>
      <c r="E254" t="s">
        <v>39</v>
      </c>
      <c r="F254" t="s">
        <v>46</v>
      </c>
      <c r="G254" t="s">
        <v>31</v>
      </c>
      <c r="H254" s="2">
        <v>45665</v>
      </c>
      <c r="I254" s="3">
        <v>205</v>
      </c>
      <c r="J254">
        <v>10</v>
      </c>
      <c r="K254" t="s">
        <v>26</v>
      </c>
      <c r="L254" t="s">
        <v>32</v>
      </c>
      <c r="M254">
        <v>5</v>
      </c>
    </row>
    <row r="255" spans="1:13">
      <c r="A255" t="s">
        <v>433</v>
      </c>
      <c r="B255" t="s">
        <v>434</v>
      </c>
      <c r="C255" t="s">
        <v>24</v>
      </c>
      <c r="D255" t="s">
        <v>16</v>
      </c>
      <c r="E255" t="s">
        <v>39</v>
      </c>
      <c r="F255" t="s">
        <v>40</v>
      </c>
      <c r="G255" t="s">
        <v>41</v>
      </c>
      <c r="H255" s="2">
        <v>45320</v>
      </c>
      <c r="I255" s="3">
        <v>385</v>
      </c>
      <c r="J255">
        <v>12</v>
      </c>
      <c r="K255" t="s">
        <v>26</v>
      </c>
      <c r="L255" t="s">
        <v>32</v>
      </c>
      <c r="M255">
        <v>5</v>
      </c>
    </row>
    <row r="256" spans="1:13">
      <c r="A256" t="s">
        <v>435</v>
      </c>
      <c r="B256" t="s">
        <v>436</v>
      </c>
      <c r="C256" t="s">
        <v>35</v>
      </c>
      <c r="D256" t="s">
        <v>45</v>
      </c>
      <c r="E256" t="s">
        <v>56</v>
      </c>
      <c r="F256" t="s">
        <v>60</v>
      </c>
      <c r="G256" t="s">
        <v>31</v>
      </c>
      <c r="H256" s="2">
        <v>46180</v>
      </c>
      <c r="I256" s="3">
        <v>335</v>
      </c>
      <c r="J256">
        <v>21</v>
      </c>
      <c r="K256" t="s">
        <v>20</v>
      </c>
      <c r="L256" t="s">
        <v>50</v>
      </c>
      <c r="M256">
        <v>5</v>
      </c>
    </row>
    <row r="257" spans="1:13">
      <c r="A257" t="s">
        <v>437</v>
      </c>
      <c r="B257" t="s">
        <v>193</v>
      </c>
      <c r="C257" t="s">
        <v>15</v>
      </c>
      <c r="D257" t="s">
        <v>45</v>
      </c>
      <c r="E257" t="s">
        <v>56</v>
      </c>
      <c r="F257" t="s">
        <v>46</v>
      </c>
      <c r="G257" t="s">
        <v>41</v>
      </c>
      <c r="H257" s="2">
        <v>45464</v>
      </c>
      <c r="I257" s="3">
        <v>185</v>
      </c>
      <c r="J257">
        <v>1</v>
      </c>
      <c r="K257" t="s">
        <v>20</v>
      </c>
      <c r="L257" t="s">
        <v>32</v>
      </c>
      <c r="M257">
        <v>5</v>
      </c>
    </row>
    <row r="258" spans="1:13">
      <c r="A258" t="s">
        <v>438</v>
      </c>
      <c r="B258" t="s">
        <v>87</v>
      </c>
      <c r="C258" t="s">
        <v>44</v>
      </c>
      <c r="D258" t="s">
        <v>45</v>
      </c>
      <c r="E258" t="s">
        <v>53</v>
      </c>
      <c r="F258" t="s">
        <v>40</v>
      </c>
      <c r="G258" t="s">
        <v>31</v>
      </c>
      <c r="H258" s="2">
        <v>46084</v>
      </c>
      <c r="I258" s="3">
        <v>315</v>
      </c>
      <c r="J258">
        <v>17</v>
      </c>
      <c r="K258" t="s">
        <v>26</v>
      </c>
      <c r="L258" t="s">
        <v>21</v>
      </c>
      <c r="M258">
        <v>3</v>
      </c>
    </row>
    <row r="259" spans="1:13">
      <c r="A259" t="s">
        <v>439</v>
      </c>
      <c r="B259" t="s">
        <v>34</v>
      </c>
      <c r="C259" t="s">
        <v>24</v>
      </c>
      <c r="D259" t="s">
        <v>25</v>
      </c>
      <c r="E259" t="s">
        <v>56</v>
      </c>
      <c r="F259" t="s">
        <v>60</v>
      </c>
      <c r="G259" t="s">
        <v>31</v>
      </c>
      <c r="H259" s="2">
        <v>46003</v>
      </c>
      <c r="I259" s="3">
        <v>175</v>
      </c>
      <c r="J259">
        <v>19</v>
      </c>
      <c r="K259" t="s">
        <v>26</v>
      </c>
      <c r="L259" t="s">
        <v>32</v>
      </c>
      <c r="M259">
        <v>3</v>
      </c>
    </row>
    <row r="260" spans="1:13">
      <c r="A260" t="s">
        <v>440</v>
      </c>
      <c r="B260" t="s">
        <v>160</v>
      </c>
      <c r="C260" t="s">
        <v>15</v>
      </c>
      <c r="D260" t="s">
        <v>59</v>
      </c>
      <c r="E260" t="s">
        <v>17</v>
      </c>
      <c r="F260" t="s">
        <v>60</v>
      </c>
      <c r="G260" t="s">
        <v>19</v>
      </c>
      <c r="H260" s="2">
        <v>45988</v>
      </c>
      <c r="I260" s="3">
        <v>320</v>
      </c>
      <c r="J260">
        <v>21</v>
      </c>
      <c r="K260" t="s">
        <v>26</v>
      </c>
      <c r="L260" t="s">
        <v>32</v>
      </c>
      <c r="M260">
        <v>3</v>
      </c>
    </row>
    <row r="261" spans="1:13">
      <c r="A261" t="s">
        <v>441</v>
      </c>
      <c r="B261" t="s">
        <v>233</v>
      </c>
      <c r="C261" t="s">
        <v>24</v>
      </c>
      <c r="D261" t="s">
        <v>29</v>
      </c>
      <c r="E261" t="s">
        <v>30</v>
      </c>
      <c r="F261" t="s">
        <v>18</v>
      </c>
      <c r="G261" t="s">
        <v>31</v>
      </c>
      <c r="H261" s="2">
        <v>45811</v>
      </c>
      <c r="I261" s="3">
        <v>330</v>
      </c>
      <c r="J261">
        <v>18</v>
      </c>
      <c r="K261" t="s">
        <v>20</v>
      </c>
      <c r="L261" t="s">
        <v>32</v>
      </c>
      <c r="M261">
        <v>3</v>
      </c>
    </row>
    <row r="262" spans="1:13">
      <c r="A262" t="s">
        <v>442</v>
      </c>
      <c r="B262" t="s">
        <v>308</v>
      </c>
      <c r="C262" t="s">
        <v>35</v>
      </c>
      <c r="D262" t="s">
        <v>29</v>
      </c>
      <c r="E262" t="s">
        <v>56</v>
      </c>
      <c r="F262" t="s">
        <v>60</v>
      </c>
      <c r="G262" t="s">
        <v>41</v>
      </c>
      <c r="H262" s="2">
        <v>46126</v>
      </c>
      <c r="I262" s="3">
        <v>460</v>
      </c>
      <c r="J262">
        <v>12</v>
      </c>
      <c r="K262" t="s">
        <v>20</v>
      </c>
      <c r="L262" t="s">
        <v>32</v>
      </c>
      <c r="M262">
        <v>4</v>
      </c>
    </row>
    <row r="263" spans="1:13">
      <c r="A263" t="s">
        <v>443</v>
      </c>
      <c r="B263" t="s">
        <v>409</v>
      </c>
      <c r="C263" t="s">
        <v>44</v>
      </c>
      <c r="D263" t="s">
        <v>49</v>
      </c>
      <c r="E263" t="s">
        <v>88</v>
      </c>
      <c r="F263" t="s">
        <v>36</v>
      </c>
      <c r="G263" t="s">
        <v>41</v>
      </c>
      <c r="H263" s="2">
        <v>45960</v>
      </c>
      <c r="I263" s="3">
        <v>620</v>
      </c>
      <c r="J263">
        <v>20</v>
      </c>
      <c r="K263" t="s">
        <v>26</v>
      </c>
      <c r="L263" t="s">
        <v>32</v>
      </c>
      <c r="M263">
        <v>4</v>
      </c>
    </row>
    <row r="264" spans="1:13">
      <c r="A264" t="s">
        <v>444</v>
      </c>
      <c r="B264" t="s">
        <v>445</v>
      </c>
      <c r="C264" t="s">
        <v>44</v>
      </c>
      <c r="D264" t="s">
        <v>59</v>
      </c>
      <c r="E264" t="s">
        <v>53</v>
      </c>
      <c r="F264" t="s">
        <v>40</v>
      </c>
      <c r="G264" t="s">
        <v>41</v>
      </c>
      <c r="H264" s="2">
        <v>45773</v>
      </c>
      <c r="I264" s="3">
        <v>400</v>
      </c>
      <c r="J264">
        <v>7</v>
      </c>
      <c r="K264" t="s">
        <v>26</v>
      </c>
      <c r="L264" t="s">
        <v>32</v>
      </c>
      <c r="M264">
        <v>5</v>
      </c>
    </row>
    <row r="265" spans="1:13">
      <c r="A265" t="s">
        <v>446</v>
      </c>
      <c r="B265" t="s">
        <v>81</v>
      </c>
      <c r="C265" t="s">
        <v>24</v>
      </c>
      <c r="D265" t="s">
        <v>49</v>
      </c>
      <c r="E265" t="s">
        <v>39</v>
      </c>
      <c r="F265" t="s">
        <v>18</v>
      </c>
      <c r="G265" t="s">
        <v>19</v>
      </c>
      <c r="H265" s="2">
        <v>45966</v>
      </c>
      <c r="I265" s="3">
        <v>860</v>
      </c>
      <c r="J265">
        <v>75</v>
      </c>
      <c r="K265" t="s">
        <v>26</v>
      </c>
      <c r="L265" t="s">
        <v>50</v>
      </c>
      <c r="M265">
        <v>3</v>
      </c>
    </row>
    <row r="266" spans="1:13">
      <c r="A266" t="s">
        <v>447</v>
      </c>
      <c r="B266" t="s">
        <v>223</v>
      </c>
      <c r="C266" t="s">
        <v>44</v>
      </c>
      <c r="D266" t="s">
        <v>49</v>
      </c>
      <c r="E266" t="s">
        <v>53</v>
      </c>
      <c r="F266" t="s">
        <v>36</v>
      </c>
      <c r="G266" t="s">
        <v>31</v>
      </c>
      <c r="H266" s="2">
        <v>45974</v>
      </c>
      <c r="I266" s="3">
        <v>630</v>
      </c>
      <c r="J266">
        <v>56</v>
      </c>
      <c r="K266" t="s">
        <v>26</v>
      </c>
      <c r="L266" t="s">
        <v>21</v>
      </c>
      <c r="M266">
        <v>4</v>
      </c>
    </row>
    <row r="267" spans="1:13">
      <c r="A267" t="s">
        <v>448</v>
      </c>
      <c r="B267" t="s">
        <v>73</v>
      </c>
      <c r="C267" t="s">
        <v>15</v>
      </c>
      <c r="D267" t="s">
        <v>25</v>
      </c>
      <c r="E267" t="s">
        <v>17</v>
      </c>
      <c r="F267" t="s">
        <v>36</v>
      </c>
      <c r="G267" t="s">
        <v>31</v>
      </c>
      <c r="H267" s="2">
        <v>45561</v>
      </c>
      <c r="I267" s="3">
        <v>475</v>
      </c>
      <c r="J267">
        <v>36</v>
      </c>
      <c r="K267" t="s">
        <v>26</v>
      </c>
      <c r="L267" t="s">
        <v>32</v>
      </c>
      <c r="M267">
        <v>2</v>
      </c>
    </row>
    <row r="268" spans="1:13">
      <c r="A268" t="s">
        <v>449</v>
      </c>
      <c r="B268" t="s">
        <v>450</v>
      </c>
      <c r="C268" t="s">
        <v>15</v>
      </c>
      <c r="D268" t="s">
        <v>59</v>
      </c>
      <c r="E268" t="s">
        <v>56</v>
      </c>
      <c r="F268" t="s">
        <v>40</v>
      </c>
      <c r="G268" t="s">
        <v>31</v>
      </c>
      <c r="H268" s="2">
        <v>45645</v>
      </c>
      <c r="I268" s="3">
        <v>165</v>
      </c>
      <c r="J268">
        <v>12</v>
      </c>
      <c r="K268" t="s">
        <v>20</v>
      </c>
      <c r="L268" t="s">
        <v>21</v>
      </c>
      <c r="M268">
        <v>4</v>
      </c>
    </row>
    <row r="269" spans="1:13">
      <c r="A269" t="s">
        <v>451</v>
      </c>
      <c r="B269" t="s">
        <v>77</v>
      </c>
      <c r="C269" t="s">
        <v>44</v>
      </c>
      <c r="D269" t="s">
        <v>45</v>
      </c>
      <c r="E269" t="s">
        <v>53</v>
      </c>
      <c r="F269" t="s">
        <v>18</v>
      </c>
      <c r="G269" t="s">
        <v>41</v>
      </c>
      <c r="H269" s="2">
        <v>45320</v>
      </c>
      <c r="I269" s="3">
        <v>400</v>
      </c>
      <c r="J269">
        <v>22</v>
      </c>
      <c r="K269" t="s">
        <v>26</v>
      </c>
      <c r="L269" t="s">
        <v>32</v>
      </c>
      <c r="M269">
        <v>2</v>
      </c>
    </row>
    <row r="270" spans="1:13">
      <c r="A270" t="s">
        <v>452</v>
      </c>
      <c r="B270" t="s">
        <v>34</v>
      </c>
      <c r="C270" t="s">
        <v>24</v>
      </c>
      <c r="D270" t="s">
        <v>59</v>
      </c>
      <c r="E270" t="s">
        <v>30</v>
      </c>
      <c r="F270" t="s">
        <v>40</v>
      </c>
      <c r="G270" t="s">
        <v>19</v>
      </c>
      <c r="H270" s="2">
        <v>45905</v>
      </c>
      <c r="I270" s="3">
        <v>355</v>
      </c>
      <c r="J270">
        <v>24</v>
      </c>
      <c r="K270" t="s">
        <v>26</v>
      </c>
      <c r="L270" t="s">
        <v>50</v>
      </c>
      <c r="M270">
        <v>4</v>
      </c>
    </row>
    <row r="271" spans="1:13">
      <c r="A271" t="s">
        <v>453</v>
      </c>
      <c r="B271" t="s">
        <v>266</v>
      </c>
      <c r="C271" t="s">
        <v>24</v>
      </c>
      <c r="D271" t="s">
        <v>45</v>
      </c>
      <c r="E271" t="s">
        <v>17</v>
      </c>
      <c r="F271" t="s">
        <v>40</v>
      </c>
      <c r="G271" t="s">
        <v>31</v>
      </c>
      <c r="H271" s="2">
        <v>45780</v>
      </c>
      <c r="I271" s="3">
        <v>315</v>
      </c>
      <c r="J271">
        <v>15</v>
      </c>
      <c r="K271" t="s">
        <v>26</v>
      </c>
      <c r="L271" t="s">
        <v>32</v>
      </c>
      <c r="M271">
        <v>4</v>
      </c>
    </row>
    <row r="272" spans="1:13">
      <c r="A272" t="s">
        <v>454</v>
      </c>
      <c r="B272" t="s">
        <v>455</v>
      </c>
      <c r="C272" t="s">
        <v>44</v>
      </c>
      <c r="D272" t="s">
        <v>25</v>
      </c>
      <c r="E272" t="s">
        <v>39</v>
      </c>
      <c r="F272" t="s">
        <v>36</v>
      </c>
      <c r="G272" t="s">
        <v>31</v>
      </c>
      <c r="H272" s="2">
        <v>45990</v>
      </c>
      <c r="I272" s="3">
        <v>1045</v>
      </c>
      <c r="J272">
        <v>71</v>
      </c>
      <c r="K272" t="s">
        <v>26</v>
      </c>
      <c r="L272" t="s">
        <v>32</v>
      </c>
      <c r="M272">
        <v>3</v>
      </c>
    </row>
    <row r="273" spans="1:13">
      <c r="A273" t="s">
        <v>456</v>
      </c>
      <c r="B273" t="s">
        <v>457</v>
      </c>
      <c r="C273" t="s">
        <v>44</v>
      </c>
      <c r="D273" t="s">
        <v>16</v>
      </c>
      <c r="E273" t="s">
        <v>39</v>
      </c>
      <c r="F273" t="s">
        <v>36</v>
      </c>
      <c r="G273" t="s">
        <v>19</v>
      </c>
      <c r="H273" s="2">
        <v>45612</v>
      </c>
      <c r="I273" s="3">
        <v>620</v>
      </c>
      <c r="J273">
        <v>39</v>
      </c>
      <c r="K273" t="s">
        <v>26</v>
      </c>
      <c r="L273" t="s">
        <v>21</v>
      </c>
      <c r="M273">
        <v>4</v>
      </c>
    </row>
    <row r="274" spans="1:13">
      <c r="A274" t="s">
        <v>458</v>
      </c>
      <c r="B274" t="s">
        <v>238</v>
      </c>
      <c r="C274" t="s">
        <v>35</v>
      </c>
      <c r="D274" t="s">
        <v>49</v>
      </c>
      <c r="E274" t="s">
        <v>56</v>
      </c>
      <c r="F274" t="s">
        <v>18</v>
      </c>
      <c r="G274" t="s">
        <v>41</v>
      </c>
      <c r="H274" s="2">
        <v>45777</v>
      </c>
      <c r="I274" s="3">
        <v>1090</v>
      </c>
      <c r="J274">
        <v>67</v>
      </c>
      <c r="K274" t="s">
        <v>20</v>
      </c>
      <c r="L274" t="s">
        <v>50</v>
      </c>
      <c r="M274">
        <v>4</v>
      </c>
    </row>
    <row r="275" spans="1:13">
      <c r="A275" t="s">
        <v>459</v>
      </c>
      <c r="B275" t="s">
        <v>114</v>
      </c>
      <c r="C275" t="s">
        <v>15</v>
      </c>
      <c r="D275" t="s">
        <v>25</v>
      </c>
      <c r="E275" t="s">
        <v>17</v>
      </c>
      <c r="F275" t="s">
        <v>40</v>
      </c>
      <c r="G275" t="s">
        <v>31</v>
      </c>
      <c r="H275" s="2">
        <v>45554</v>
      </c>
      <c r="I275" s="3">
        <v>470</v>
      </c>
      <c r="J275">
        <v>23</v>
      </c>
      <c r="K275" t="s">
        <v>26</v>
      </c>
      <c r="L275" t="s">
        <v>32</v>
      </c>
      <c r="M275">
        <v>5</v>
      </c>
    </row>
    <row r="276" spans="1:13">
      <c r="A276" t="s">
        <v>460</v>
      </c>
      <c r="B276" t="s">
        <v>248</v>
      </c>
      <c r="C276" t="s">
        <v>35</v>
      </c>
      <c r="D276" t="s">
        <v>59</v>
      </c>
      <c r="E276" t="s">
        <v>39</v>
      </c>
      <c r="F276" t="s">
        <v>60</v>
      </c>
      <c r="G276" t="s">
        <v>19</v>
      </c>
      <c r="H276" s="2">
        <v>45553</v>
      </c>
      <c r="I276" s="3">
        <v>225</v>
      </c>
      <c r="J276">
        <v>5</v>
      </c>
      <c r="K276" t="s">
        <v>26</v>
      </c>
      <c r="L276" t="s">
        <v>21</v>
      </c>
      <c r="M276">
        <v>4</v>
      </c>
    </row>
    <row r="277" spans="1:13">
      <c r="A277" t="s">
        <v>461</v>
      </c>
      <c r="B277" t="s">
        <v>335</v>
      </c>
      <c r="C277" t="s">
        <v>24</v>
      </c>
      <c r="D277" t="s">
        <v>29</v>
      </c>
      <c r="E277" t="s">
        <v>39</v>
      </c>
      <c r="F277" t="s">
        <v>36</v>
      </c>
      <c r="G277" t="s">
        <v>19</v>
      </c>
      <c r="H277" s="2">
        <v>46111</v>
      </c>
      <c r="I277" s="3">
        <v>980</v>
      </c>
      <c r="J277">
        <v>51</v>
      </c>
      <c r="K277" t="s">
        <v>26</v>
      </c>
      <c r="L277" t="s">
        <v>32</v>
      </c>
      <c r="M277">
        <v>5</v>
      </c>
    </row>
    <row r="278" spans="1:13">
      <c r="A278" t="s">
        <v>462</v>
      </c>
      <c r="B278" t="s">
        <v>361</v>
      </c>
      <c r="C278" t="s">
        <v>24</v>
      </c>
      <c r="D278" t="s">
        <v>29</v>
      </c>
      <c r="E278" t="s">
        <v>56</v>
      </c>
      <c r="F278" t="s">
        <v>18</v>
      </c>
      <c r="G278" t="s">
        <v>19</v>
      </c>
      <c r="H278" s="2">
        <v>45987</v>
      </c>
      <c r="I278" s="3">
        <v>340</v>
      </c>
      <c r="J278">
        <v>17</v>
      </c>
      <c r="K278" t="s">
        <v>26</v>
      </c>
      <c r="L278" t="s">
        <v>32</v>
      </c>
      <c r="M278">
        <v>2</v>
      </c>
    </row>
    <row r="279" spans="1:13">
      <c r="A279" t="s">
        <v>463</v>
      </c>
      <c r="B279" t="s">
        <v>308</v>
      </c>
      <c r="C279" t="s">
        <v>35</v>
      </c>
      <c r="D279" t="s">
        <v>25</v>
      </c>
      <c r="E279" t="s">
        <v>53</v>
      </c>
      <c r="F279" t="s">
        <v>36</v>
      </c>
      <c r="G279" t="s">
        <v>31</v>
      </c>
      <c r="H279" s="2">
        <v>45874</v>
      </c>
      <c r="I279" s="3">
        <v>805</v>
      </c>
      <c r="J279">
        <v>38</v>
      </c>
      <c r="K279" t="s">
        <v>20</v>
      </c>
      <c r="L279" t="s">
        <v>32</v>
      </c>
      <c r="M279">
        <v>5</v>
      </c>
    </row>
    <row r="280" spans="1:13">
      <c r="A280" t="s">
        <v>464</v>
      </c>
      <c r="B280" t="s">
        <v>465</v>
      </c>
      <c r="C280" t="s">
        <v>44</v>
      </c>
      <c r="D280" t="s">
        <v>59</v>
      </c>
      <c r="E280" t="s">
        <v>39</v>
      </c>
      <c r="F280" t="s">
        <v>46</v>
      </c>
      <c r="G280" t="s">
        <v>31</v>
      </c>
      <c r="H280" s="2">
        <v>46072</v>
      </c>
      <c r="I280" s="3">
        <v>190</v>
      </c>
      <c r="J280">
        <v>14</v>
      </c>
      <c r="K280" t="s">
        <v>26</v>
      </c>
      <c r="L280" t="s">
        <v>32</v>
      </c>
      <c r="M280">
        <v>3</v>
      </c>
    </row>
    <row r="281" spans="1:13">
      <c r="A281" t="s">
        <v>466</v>
      </c>
      <c r="B281" t="s">
        <v>467</v>
      </c>
      <c r="C281" t="s">
        <v>35</v>
      </c>
      <c r="D281" t="s">
        <v>25</v>
      </c>
      <c r="E281" t="s">
        <v>53</v>
      </c>
      <c r="F281" t="s">
        <v>60</v>
      </c>
      <c r="G281" t="s">
        <v>19</v>
      </c>
      <c r="H281" s="2">
        <v>45357</v>
      </c>
      <c r="I281" s="3">
        <v>185</v>
      </c>
      <c r="J281">
        <v>6</v>
      </c>
      <c r="K281" t="s">
        <v>26</v>
      </c>
      <c r="L281" t="s">
        <v>50</v>
      </c>
      <c r="M281">
        <v>4</v>
      </c>
    </row>
    <row r="282" spans="1:13">
      <c r="A282" t="s">
        <v>468</v>
      </c>
      <c r="B282" t="s">
        <v>104</v>
      </c>
      <c r="C282" t="s">
        <v>15</v>
      </c>
      <c r="D282" t="s">
        <v>49</v>
      </c>
      <c r="E282" t="s">
        <v>56</v>
      </c>
      <c r="F282" t="s">
        <v>18</v>
      </c>
      <c r="G282" t="s">
        <v>31</v>
      </c>
      <c r="H282" s="2">
        <v>46175</v>
      </c>
      <c r="I282" s="3">
        <v>1165</v>
      </c>
      <c r="J282">
        <v>76</v>
      </c>
      <c r="K282" t="s">
        <v>26</v>
      </c>
      <c r="L282" t="s">
        <v>32</v>
      </c>
      <c r="M282">
        <v>4</v>
      </c>
    </row>
    <row r="283" spans="1:13">
      <c r="A283" t="s">
        <v>469</v>
      </c>
      <c r="B283" t="s">
        <v>189</v>
      </c>
      <c r="C283" t="s">
        <v>44</v>
      </c>
      <c r="D283" t="s">
        <v>59</v>
      </c>
      <c r="E283" t="s">
        <v>17</v>
      </c>
      <c r="F283" t="s">
        <v>46</v>
      </c>
      <c r="G283" t="s">
        <v>31</v>
      </c>
      <c r="H283" s="2">
        <v>45672</v>
      </c>
      <c r="I283" s="3">
        <v>140</v>
      </c>
      <c r="J283">
        <v>17</v>
      </c>
      <c r="K283" t="s">
        <v>26</v>
      </c>
      <c r="L283" t="s">
        <v>32</v>
      </c>
      <c r="M283">
        <v>2</v>
      </c>
    </row>
    <row r="284" spans="1:13">
      <c r="A284" t="s">
        <v>470</v>
      </c>
      <c r="B284" t="s">
        <v>84</v>
      </c>
      <c r="C284" t="s">
        <v>44</v>
      </c>
      <c r="D284" t="s">
        <v>45</v>
      </c>
      <c r="E284" t="s">
        <v>88</v>
      </c>
      <c r="F284" t="s">
        <v>18</v>
      </c>
      <c r="G284" t="s">
        <v>31</v>
      </c>
      <c r="H284" s="2">
        <v>45818</v>
      </c>
      <c r="I284" s="3">
        <v>730</v>
      </c>
      <c r="J284">
        <v>74</v>
      </c>
      <c r="K284" t="s">
        <v>26</v>
      </c>
      <c r="L284" t="s">
        <v>21</v>
      </c>
      <c r="M284">
        <v>5</v>
      </c>
    </row>
    <row r="285" spans="1:13">
      <c r="A285" t="s">
        <v>471</v>
      </c>
      <c r="B285" t="s">
        <v>106</v>
      </c>
      <c r="C285" t="s">
        <v>15</v>
      </c>
      <c r="D285" t="s">
        <v>49</v>
      </c>
      <c r="E285" t="s">
        <v>56</v>
      </c>
      <c r="F285" t="s">
        <v>40</v>
      </c>
      <c r="G285" t="s">
        <v>41</v>
      </c>
      <c r="H285" s="2">
        <v>45489</v>
      </c>
      <c r="I285" s="3">
        <v>405</v>
      </c>
      <c r="J285">
        <v>13</v>
      </c>
      <c r="K285" t="s">
        <v>26</v>
      </c>
      <c r="L285" t="s">
        <v>50</v>
      </c>
      <c r="M285">
        <v>4</v>
      </c>
    </row>
    <row r="286" spans="1:13">
      <c r="A286" t="s">
        <v>472</v>
      </c>
      <c r="B286" t="s">
        <v>151</v>
      </c>
      <c r="C286" t="s">
        <v>24</v>
      </c>
      <c r="D286" t="s">
        <v>16</v>
      </c>
      <c r="E286" t="s">
        <v>39</v>
      </c>
      <c r="F286" t="s">
        <v>60</v>
      </c>
      <c r="G286" t="s">
        <v>19</v>
      </c>
      <c r="H286" s="2">
        <v>45664</v>
      </c>
      <c r="I286" s="3">
        <v>350</v>
      </c>
      <c r="J286">
        <v>19</v>
      </c>
      <c r="K286" t="s">
        <v>26</v>
      </c>
      <c r="L286" t="s">
        <v>32</v>
      </c>
      <c r="M286">
        <v>4</v>
      </c>
    </row>
    <row r="287" spans="1:13">
      <c r="A287" t="s">
        <v>473</v>
      </c>
      <c r="B287" t="s">
        <v>474</v>
      </c>
      <c r="C287" t="s">
        <v>24</v>
      </c>
      <c r="D287" t="s">
        <v>59</v>
      </c>
      <c r="E287" t="s">
        <v>88</v>
      </c>
      <c r="F287" t="s">
        <v>60</v>
      </c>
      <c r="G287" t="s">
        <v>31</v>
      </c>
      <c r="H287" s="2">
        <v>45733</v>
      </c>
      <c r="I287" s="3">
        <v>160</v>
      </c>
      <c r="J287">
        <v>11</v>
      </c>
      <c r="K287" t="s">
        <v>26</v>
      </c>
      <c r="L287" t="s">
        <v>21</v>
      </c>
      <c r="M287">
        <v>5</v>
      </c>
    </row>
    <row r="288" spans="1:13">
      <c r="A288" t="s">
        <v>475</v>
      </c>
      <c r="B288" t="s">
        <v>167</v>
      </c>
      <c r="C288" t="s">
        <v>44</v>
      </c>
      <c r="D288" t="s">
        <v>16</v>
      </c>
      <c r="E288" t="s">
        <v>30</v>
      </c>
      <c r="F288" t="s">
        <v>18</v>
      </c>
      <c r="G288" t="s">
        <v>19</v>
      </c>
      <c r="H288" s="2">
        <v>45766</v>
      </c>
      <c r="I288" s="3">
        <v>520</v>
      </c>
      <c r="J288">
        <v>25</v>
      </c>
      <c r="K288" t="s">
        <v>20</v>
      </c>
      <c r="L288" t="s">
        <v>32</v>
      </c>
      <c r="M288">
        <v>2</v>
      </c>
    </row>
    <row r="289" spans="1:13">
      <c r="A289" t="s">
        <v>476</v>
      </c>
      <c r="B289" t="s">
        <v>92</v>
      </c>
      <c r="C289" t="s">
        <v>44</v>
      </c>
      <c r="D289" t="s">
        <v>49</v>
      </c>
      <c r="E289" t="s">
        <v>39</v>
      </c>
      <c r="F289" t="s">
        <v>40</v>
      </c>
      <c r="G289" t="s">
        <v>31</v>
      </c>
      <c r="H289" s="2">
        <v>45813</v>
      </c>
      <c r="I289" s="3">
        <v>115</v>
      </c>
      <c r="J289">
        <v>1</v>
      </c>
      <c r="K289" t="s">
        <v>26</v>
      </c>
      <c r="L289" t="s">
        <v>32</v>
      </c>
      <c r="M289">
        <v>4</v>
      </c>
    </row>
    <row r="290" spans="1:13">
      <c r="A290" t="s">
        <v>477</v>
      </c>
      <c r="B290" t="s">
        <v>286</v>
      </c>
      <c r="C290" t="s">
        <v>24</v>
      </c>
      <c r="D290" t="s">
        <v>25</v>
      </c>
      <c r="E290" t="s">
        <v>53</v>
      </c>
      <c r="F290" t="s">
        <v>46</v>
      </c>
      <c r="G290" t="s">
        <v>31</v>
      </c>
      <c r="H290" s="2">
        <v>45829</v>
      </c>
      <c r="I290" s="3">
        <v>175</v>
      </c>
      <c r="J290">
        <v>9</v>
      </c>
      <c r="K290" t="s">
        <v>26</v>
      </c>
      <c r="L290" t="s">
        <v>32</v>
      </c>
      <c r="M290">
        <v>5</v>
      </c>
    </row>
    <row r="291" spans="1:13">
      <c r="A291" t="s">
        <v>478</v>
      </c>
      <c r="B291" t="s">
        <v>361</v>
      </c>
      <c r="C291" t="s">
        <v>15</v>
      </c>
      <c r="D291" t="s">
        <v>59</v>
      </c>
      <c r="E291" t="s">
        <v>17</v>
      </c>
      <c r="F291" t="s">
        <v>46</v>
      </c>
      <c r="G291" t="s">
        <v>19</v>
      </c>
      <c r="H291" s="2">
        <v>45577</v>
      </c>
      <c r="I291" s="3">
        <v>300</v>
      </c>
      <c r="J291">
        <v>18</v>
      </c>
      <c r="K291" t="s">
        <v>26</v>
      </c>
      <c r="L291" t="s">
        <v>32</v>
      </c>
      <c r="M291">
        <v>5</v>
      </c>
    </row>
    <row r="292" spans="1:13">
      <c r="A292" t="s">
        <v>479</v>
      </c>
      <c r="B292" t="s">
        <v>390</v>
      </c>
      <c r="C292" t="s">
        <v>15</v>
      </c>
      <c r="D292" t="s">
        <v>45</v>
      </c>
      <c r="E292" t="s">
        <v>30</v>
      </c>
      <c r="F292" t="s">
        <v>36</v>
      </c>
      <c r="G292" t="s">
        <v>31</v>
      </c>
      <c r="H292" s="2">
        <v>45451</v>
      </c>
      <c r="I292" s="3">
        <v>475</v>
      </c>
      <c r="J292">
        <v>70</v>
      </c>
      <c r="K292" t="s">
        <v>26</v>
      </c>
      <c r="L292" t="s">
        <v>32</v>
      </c>
      <c r="M292">
        <v>5</v>
      </c>
    </row>
    <row r="293" spans="1:13">
      <c r="A293" t="s">
        <v>480</v>
      </c>
      <c r="B293" t="s">
        <v>233</v>
      </c>
      <c r="C293" t="s">
        <v>44</v>
      </c>
      <c r="D293" t="s">
        <v>16</v>
      </c>
      <c r="E293" t="s">
        <v>53</v>
      </c>
      <c r="F293" t="s">
        <v>46</v>
      </c>
      <c r="G293" t="s">
        <v>41</v>
      </c>
      <c r="H293" s="2">
        <v>45864</v>
      </c>
      <c r="I293" s="3">
        <v>250</v>
      </c>
      <c r="J293">
        <v>13</v>
      </c>
      <c r="K293" t="s">
        <v>20</v>
      </c>
      <c r="L293" t="s">
        <v>32</v>
      </c>
      <c r="M293">
        <v>4</v>
      </c>
    </row>
    <row r="294" spans="1:13">
      <c r="A294" t="s">
        <v>481</v>
      </c>
      <c r="B294" t="s">
        <v>482</v>
      </c>
      <c r="C294" t="s">
        <v>15</v>
      </c>
      <c r="D294" t="s">
        <v>16</v>
      </c>
      <c r="E294" t="s">
        <v>88</v>
      </c>
      <c r="F294" t="s">
        <v>36</v>
      </c>
      <c r="G294" t="s">
        <v>19</v>
      </c>
      <c r="H294" s="2">
        <v>46093</v>
      </c>
      <c r="I294" s="3">
        <v>1000</v>
      </c>
      <c r="J294">
        <v>66</v>
      </c>
      <c r="K294" t="s">
        <v>26</v>
      </c>
      <c r="L294" t="s">
        <v>32</v>
      </c>
      <c r="M294">
        <v>2</v>
      </c>
    </row>
    <row r="295" spans="1:13">
      <c r="A295" t="s">
        <v>483</v>
      </c>
      <c r="B295" t="s">
        <v>358</v>
      </c>
      <c r="C295" t="s">
        <v>15</v>
      </c>
      <c r="D295" t="s">
        <v>25</v>
      </c>
      <c r="E295" t="s">
        <v>88</v>
      </c>
      <c r="F295" t="s">
        <v>40</v>
      </c>
      <c r="G295" t="s">
        <v>31</v>
      </c>
      <c r="H295" s="2">
        <v>46191</v>
      </c>
      <c r="I295" s="3">
        <v>255</v>
      </c>
      <c r="J295">
        <v>11</v>
      </c>
      <c r="K295" t="s">
        <v>26</v>
      </c>
      <c r="L295" t="s">
        <v>21</v>
      </c>
      <c r="M295">
        <v>3</v>
      </c>
    </row>
    <row r="296" spans="1:13">
      <c r="A296" t="s">
        <v>484</v>
      </c>
      <c r="B296" t="s">
        <v>104</v>
      </c>
      <c r="C296" t="s">
        <v>35</v>
      </c>
      <c r="D296" t="s">
        <v>49</v>
      </c>
      <c r="E296" t="s">
        <v>56</v>
      </c>
      <c r="F296" t="s">
        <v>40</v>
      </c>
      <c r="G296" t="s">
        <v>19</v>
      </c>
      <c r="H296" s="2">
        <v>46113</v>
      </c>
      <c r="I296" s="3">
        <v>215</v>
      </c>
      <c r="J296">
        <v>4</v>
      </c>
      <c r="K296" t="s">
        <v>26</v>
      </c>
      <c r="L296" t="s">
        <v>21</v>
      </c>
      <c r="M296">
        <v>5</v>
      </c>
    </row>
    <row r="297" spans="1:13">
      <c r="A297" t="s">
        <v>485</v>
      </c>
      <c r="B297" t="s">
        <v>189</v>
      </c>
      <c r="C297" t="s">
        <v>24</v>
      </c>
      <c r="D297" t="s">
        <v>29</v>
      </c>
      <c r="E297" t="s">
        <v>53</v>
      </c>
      <c r="F297" t="s">
        <v>46</v>
      </c>
      <c r="G297" t="s">
        <v>19</v>
      </c>
      <c r="H297" s="2">
        <v>45709</v>
      </c>
      <c r="I297" s="3">
        <v>130</v>
      </c>
      <c r="J297">
        <v>1</v>
      </c>
      <c r="K297" t="s">
        <v>26</v>
      </c>
      <c r="L297" t="s">
        <v>21</v>
      </c>
      <c r="M297">
        <v>3</v>
      </c>
    </row>
    <row r="298" spans="1:13">
      <c r="A298" t="s">
        <v>486</v>
      </c>
      <c r="B298" t="s">
        <v>77</v>
      </c>
      <c r="C298" t="s">
        <v>15</v>
      </c>
      <c r="D298" t="s">
        <v>49</v>
      </c>
      <c r="E298" t="s">
        <v>53</v>
      </c>
      <c r="F298" t="s">
        <v>46</v>
      </c>
      <c r="G298" t="s">
        <v>41</v>
      </c>
      <c r="H298" s="2">
        <v>45320</v>
      </c>
      <c r="I298" s="3">
        <v>330</v>
      </c>
      <c r="J298">
        <v>14</v>
      </c>
      <c r="K298" t="s">
        <v>20</v>
      </c>
      <c r="L298" t="s">
        <v>50</v>
      </c>
      <c r="M298">
        <v>3</v>
      </c>
    </row>
    <row r="299" spans="1:13">
      <c r="A299" t="s">
        <v>487</v>
      </c>
      <c r="B299" t="s">
        <v>196</v>
      </c>
      <c r="C299" t="s">
        <v>15</v>
      </c>
      <c r="D299" t="s">
        <v>16</v>
      </c>
      <c r="E299" t="s">
        <v>88</v>
      </c>
      <c r="F299" t="s">
        <v>60</v>
      </c>
      <c r="G299" t="s">
        <v>31</v>
      </c>
      <c r="H299" s="2">
        <v>45810</v>
      </c>
      <c r="I299" s="3">
        <v>400</v>
      </c>
      <c r="J299">
        <v>25</v>
      </c>
      <c r="K299" t="s">
        <v>20</v>
      </c>
      <c r="L299" t="s">
        <v>50</v>
      </c>
      <c r="M299">
        <v>2</v>
      </c>
    </row>
    <row r="300" spans="1:13">
      <c r="A300" t="s">
        <v>488</v>
      </c>
      <c r="B300" t="s">
        <v>127</v>
      </c>
      <c r="C300" t="s">
        <v>35</v>
      </c>
      <c r="D300" t="s">
        <v>16</v>
      </c>
      <c r="E300" t="s">
        <v>30</v>
      </c>
      <c r="F300" t="s">
        <v>40</v>
      </c>
      <c r="G300" t="s">
        <v>31</v>
      </c>
      <c r="H300" s="2">
        <v>46011</v>
      </c>
      <c r="I300" s="3">
        <v>200</v>
      </c>
      <c r="J300">
        <v>6</v>
      </c>
      <c r="K300" t="s">
        <v>26</v>
      </c>
      <c r="L300" t="s">
        <v>32</v>
      </c>
      <c r="M300">
        <v>3</v>
      </c>
    </row>
    <row r="301" spans="1:13">
      <c r="A301" t="s">
        <v>489</v>
      </c>
      <c r="B301" t="s">
        <v>349</v>
      </c>
      <c r="C301" t="s">
        <v>24</v>
      </c>
      <c r="D301" t="s">
        <v>25</v>
      </c>
      <c r="E301" t="s">
        <v>88</v>
      </c>
      <c r="F301" t="s">
        <v>40</v>
      </c>
      <c r="G301" t="s">
        <v>19</v>
      </c>
      <c r="H301" s="2">
        <v>45689</v>
      </c>
      <c r="I301" s="3">
        <v>520</v>
      </c>
      <c r="J301">
        <v>25</v>
      </c>
      <c r="K301" t="s">
        <v>26</v>
      </c>
      <c r="L301" t="s">
        <v>32</v>
      </c>
      <c r="M301">
        <v>4</v>
      </c>
    </row>
    <row r="302" spans="1:13">
      <c r="A302" t="s">
        <v>553</v>
      </c>
      <c r="B302" t="s">
        <v>116</v>
      </c>
      <c r="C302" t="s">
        <v>44</v>
      </c>
      <c r="D302" t="s">
        <v>29</v>
      </c>
      <c r="E302" t="s">
        <v>17</v>
      </c>
      <c r="F302" t="s">
        <v>18</v>
      </c>
      <c r="G302" t="s">
        <v>41</v>
      </c>
      <c r="H302" s="2">
        <v>45350</v>
      </c>
      <c r="I302" s="3">
        <v>830</v>
      </c>
      <c r="J302">
        <v>62</v>
      </c>
      <c r="K302" t="s">
        <v>26</v>
      </c>
      <c r="L302" t="s">
        <v>32</v>
      </c>
      <c r="M302">
        <v>5</v>
      </c>
    </row>
    <row r="303" spans="1:13">
      <c r="A303" t="s">
        <v>490</v>
      </c>
      <c r="B303" t="s">
        <v>342</v>
      </c>
      <c r="C303" t="s">
        <v>35</v>
      </c>
      <c r="D303" t="s">
        <v>16</v>
      </c>
      <c r="E303" t="s">
        <v>56</v>
      </c>
      <c r="F303" t="s">
        <v>36</v>
      </c>
      <c r="G303" t="s">
        <v>31</v>
      </c>
      <c r="H303" s="2">
        <v>45536</v>
      </c>
      <c r="I303" s="3">
        <v>170</v>
      </c>
      <c r="J303">
        <v>3</v>
      </c>
      <c r="K303" t="s">
        <v>26</v>
      </c>
      <c r="L303" t="s">
        <v>50</v>
      </c>
      <c r="M303">
        <v>5</v>
      </c>
    </row>
    <row r="304" spans="1:13">
      <c r="A304" t="s">
        <v>491</v>
      </c>
      <c r="B304" t="s">
        <v>175</v>
      </c>
      <c r="C304" t="s">
        <v>15</v>
      </c>
      <c r="D304" t="s">
        <v>29</v>
      </c>
      <c r="E304" t="s">
        <v>30</v>
      </c>
      <c r="F304" t="s">
        <v>18</v>
      </c>
      <c r="G304" t="s">
        <v>31</v>
      </c>
      <c r="H304" s="2">
        <v>46151</v>
      </c>
      <c r="I304" s="3">
        <v>595</v>
      </c>
      <c r="J304">
        <v>29</v>
      </c>
      <c r="K304" t="s">
        <v>26</v>
      </c>
      <c r="L304" t="s">
        <v>21</v>
      </c>
      <c r="M304">
        <v>5</v>
      </c>
    </row>
    <row r="305" spans="1:13">
      <c r="A305" t="s">
        <v>492</v>
      </c>
      <c r="B305" t="s">
        <v>374</v>
      </c>
      <c r="C305" t="s">
        <v>44</v>
      </c>
      <c r="D305" t="s">
        <v>29</v>
      </c>
      <c r="E305" t="s">
        <v>39</v>
      </c>
      <c r="F305" t="s">
        <v>46</v>
      </c>
      <c r="G305" t="s">
        <v>19</v>
      </c>
      <c r="H305" s="2">
        <v>45988</v>
      </c>
      <c r="I305" s="3">
        <v>200</v>
      </c>
      <c r="J305">
        <v>15</v>
      </c>
      <c r="K305" t="s">
        <v>26</v>
      </c>
      <c r="L305" t="s">
        <v>50</v>
      </c>
      <c r="M305">
        <v>3</v>
      </c>
    </row>
    <row r="306" spans="1:13">
      <c r="A306" t="s">
        <v>493</v>
      </c>
      <c r="B306" t="s">
        <v>175</v>
      </c>
      <c r="C306" t="s">
        <v>24</v>
      </c>
      <c r="D306" t="s">
        <v>59</v>
      </c>
      <c r="E306" t="s">
        <v>30</v>
      </c>
      <c r="F306" t="s">
        <v>60</v>
      </c>
      <c r="G306" t="s">
        <v>19</v>
      </c>
      <c r="H306" s="2">
        <v>46051</v>
      </c>
      <c r="I306" s="3">
        <v>190</v>
      </c>
      <c r="J306">
        <v>2</v>
      </c>
      <c r="K306" t="s">
        <v>26</v>
      </c>
      <c r="L306" t="s">
        <v>21</v>
      </c>
      <c r="M306">
        <v>2</v>
      </c>
    </row>
    <row r="307" spans="1:13">
      <c r="A307" t="s">
        <v>494</v>
      </c>
      <c r="B307" t="s">
        <v>358</v>
      </c>
      <c r="C307" t="s">
        <v>35</v>
      </c>
      <c r="D307" t="s">
        <v>29</v>
      </c>
      <c r="E307" t="s">
        <v>30</v>
      </c>
      <c r="F307" t="s">
        <v>40</v>
      </c>
      <c r="G307" t="s">
        <v>19</v>
      </c>
      <c r="H307" s="2">
        <v>46033</v>
      </c>
      <c r="I307" s="3">
        <v>425</v>
      </c>
      <c r="J307">
        <v>16</v>
      </c>
      <c r="K307" t="s">
        <v>26</v>
      </c>
      <c r="L307" t="s">
        <v>32</v>
      </c>
      <c r="M307">
        <v>4</v>
      </c>
    </row>
    <row r="308" spans="1:13">
      <c r="A308" t="s">
        <v>495</v>
      </c>
      <c r="B308" t="s">
        <v>374</v>
      </c>
      <c r="C308" t="s">
        <v>44</v>
      </c>
      <c r="D308" t="s">
        <v>49</v>
      </c>
      <c r="E308" t="s">
        <v>30</v>
      </c>
      <c r="F308" t="s">
        <v>18</v>
      </c>
      <c r="G308" t="s">
        <v>19</v>
      </c>
      <c r="H308" s="2">
        <v>45305</v>
      </c>
      <c r="I308" s="3">
        <v>555</v>
      </c>
      <c r="J308">
        <v>35</v>
      </c>
      <c r="K308" t="s">
        <v>26</v>
      </c>
      <c r="L308" t="s">
        <v>32</v>
      </c>
      <c r="M308">
        <v>3</v>
      </c>
    </row>
    <row r="309" spans="1:13">
      <c r="A309" t="s">
        <v>496</v>
      </c>
      <c r="B309" t="s">
        <v>497</v>
      </c>
      <c r="C309" t="s">
        <v>24</v>
      </c>
      <c r="D309" t="s">
        <v>16</v>
      </c>
      <c r="E309" t="s">
        <v>30</v>
      </c>
      <c r="F309" t="s">
        <v>60</v>
      </c>
      <c r="G309" t="s">
        <v>31</v>
      </c>
      <c r="H309" s="2">
        <v>46041</v>
      </c>
      <c r="I309" s="3">
        <v>280</v>
      </c>
      <c r="J309">
        <v>17</v>
      </c>
      <c r="K309" t="s">
        <v>26</v>
      </c>
      <c r="L309" t="s">
        <v>32</v>
      </c>
      <c r="M309">
        <v>4</v>
      </c>
    </row>
    <row r="310" spans="1:13">
      <c r="A310" t="s">
        <v>498</v>
      </c>
      <c r="B310" t="s">
        <v>398</v>
      </c>
      <c r="C310" t="s">
        <v>44</v>
      </c>
      <c r="D310" t="s">
        <v>25</v>
      </c>
      <c r="E310" t="s">
        <v>30</v>
      </c>
      <c r="F310" t="s">
        <v>36</v>
      </c>
      <c r="G310" t="s">
        <v>41</v>
      </c>
      <c r="H310" s="2">
        <v>45414</v>
      </c>
      <c r="I310" s="3">
        <v>690</v>
      </c>
      <c r="J310">
        <v>50</v>
      </c>
      <c r="K310" t="s">
        <v>26</v>
      </c>
      <c r="L310" t="s">
        <v>21</v>
      </c>
      <c r="M310">
        <v>2</v>
      </c>
    </row>
    <row r="311" spans="1:13">
      <c r="A311" t="s">
        <v>499</v>
      </c>
      <c r="B311" t="s">
        <v>189</v>
      </c>
      <c r="C311" t="s">
        <v>15</v>
      </c>
      <c r="D311" t="s">
        <v>25</v>
      </c>
      <c r="E311" t="s">
        <v>88</v>
      </c>
      <c r="F311" t="s">
        <v>60</v>
      </c>
      <c r="G311" t="s">
        <v>41</v>
      </c>
      <c r="H311" s="2">
        <v>46188</v>
      </c>
      <c r="I311" s="3">
        <v>510</v>
      </c>
      <c r="J311">
        <v>23</v>
      </c>
      <c r="K311" t="s">
        <v>26</v>
      </c>
      <c r="L311" t="s">
        <v>32</v>
      </c>
      <c r="M311">
        <v>4</v>
      </c>
    </row>
    <row r="312" spans="1:13">
      <c r="A312" t="s">
        <v>500</v>
      </c>
      <c r="B312" t="s">
        <v>146</v>
      </c>
      <c r="C312" t="s">
        <v>24</v>
      </c>
      <c r="D312" t="s">
        <v>49</v>
      </c>
      <c r="E312" t="s">
        <v>56</v>
      </c>
      <c r="F312" t="s">
        <v>40</v>
      </c>
      <c r="G312" t="s">
        <v>31</v>
      </c>
      <c r="H312" s="2">
        <v>45301</v>
      </c>
      <c r="I312" s="3">
        <v>310</v>
      </c>
      <c r="J312">
        <v>22</v>
      </c>
      <c r="K312" t="s">
        <v>26</v>
      </c>
      <c r="L312" t="s">
        <v>21</v>
      </c>
      <c r="M312">
        <v>5</v>
      </c>
    </row>
    <row r="313" spans="1:13">
      <c r="A313" t="s">
        <v>501</v>
      </c>
      <c r="B313" t="s">
        <v>361</v>
      </c>
      <c r="C313" t="s">
        <v>24</v>
      </c>
      <c r="D313" t="s">
        <v>49</v>
      </c>
      <c r="E313" t="s">
        <v>39</v>
      </c>
      <c r="F313" t="s">
        <v>18</v>
      </c>
      <c r="G313" t="s">
        <v>41</v>
      </c>
      <c r="H313" s="2">
        <v>45637</v>
      </c>
      <c r="I313" s="3">
        <v>500</v>
      </c>
      <c r="J313">
        <v>21</v>
      </c>
      <c r="K313" t="s">
        <v>26</v>
      </c>
      <c r="L313" t="s">
        <v>32</v>
      </c>
      <c r="M313">
        <v>3</v>
      </c>
    </row>
    <row r="314" spans="1:13">
      <c r="A314" t="s">
        <v>502</v>
      </c>
      <c r="B314" t="s">
        <v>376</v>
      </c>
      <c r="C314" t="s">
        <v>15</v>
      </c>
      <c r="D314" t="s">
        <v>16</v>
      </c>
      <c r="E314" t="s">
        <v>39</v>
      </c>
      <c r="F314" t="s">
        <v>40</v>
      </c>
      <c r="G314" t="s">
        <v>19</v>
      </c>
      <c r="H314" s="2">
        <v>45733</v>
      </c>
      <c r="I314" s="3">
        <v>385</v>
      </c>
      <c r="J314">
        <v>23</v>
      </c>
      <c r="K314" t="s">
        <v>26</v>
      </c>
      <c r="L314" t="s">
        <v>21</v>
      </c>
      <c r="M314">
        <v>5</v>
      </c>
    </row>
    <row r="315" spans="1:13">
      <c r="A315" t="s">
        <v>503</v>
      </c>
      <c r="B315" t="s">
        <v>366</v>
      </c>
      <c r="C315" t="s">
        <v>15</v>
      </c>
      <c r="D315" t="s">
        <v>49</v>
      </c>
      <c r="E315" t="s">
        <v>30</v>
      </c>
      <c r="F315" t="s">
        <v>40</v>
      </c>
      <c r="G315" t="s">
        <v>31</v>
      </c>
      <c r="H315" s="2">
        <v>45946</v>
      </c>
      <c r="I315" s="3">
        <v>255</v>
      </c>
      <c r="J315">
        <v>20</v>
      </c>
      <c r="K315" t="s">
        <v>26</v>
      </c>
      <c r="L315" t="s">
        <v>21</v>
      </c>
      <c r="M315">
        <v>3</v>
      </c>
    </row>
    <row r="316" spans="1:13">
      <c r="A316" t="s">
        <v>504</v>
      </c>
      <c r="B316" t="s">
        <v>505</v>
      </c>
      <c r="C316" t="s">
        <v>44</v>
      </c>
      <c r="D316" t="s">
        <v>16</v>
      </c>
      <c r="E316" t="s">
        <v>17</v>
      </c>
      <c r="F316" t="s">
        <v>46</v>
      </c>
      <c r="G316" t="s">
        <v>31</v>
      </c>
      <c r="H316" s="2">
        <v>45718</v>
      </c>
      <c r="I316" s="3">
        <v>225</v>
      </c>
      <c r="J316">
        <v>24</v>
      </c>
      <c r="K316" t="s">
        <v>26</v>
      </c>
      <c r="L316" t="s">
        <v>32</v>
      </c>
      <c r="M316">
        <v>4</v>
      </c>
    </row>
    <row r="317" spans="1:13">
      <c r="A317" t="s">
        <v>506</v>
      </c>
      <c r="B317" t="s">
        <v>274</v>
      </c>
      <c r="C317" t="s">
        <v>15</v>
      </c>
      <c r="D317" t="s">
        <v>59</v>
      </c>
      <c r="E317" t="s">
        <v>39</v>
      </c>
      <c r="F317" t="s">
        <v>36</v>
      </c>
      <c r="G317" t="s">
        <v>19</v>
      </c>
      <c r="H317" s="2">
        <v>45310</v>
      </c>
      <c r="I317" s="3">
        <v>1340</v>
      </c>
      <c r="J317">
        <v>63</v>
      </c>
      <c r="K317" t="s">
        <v>26</v>
      </c>
      <c r="L317" t="s">
        <v>32</v>
      </c>
      <c r="M317">
        <v>3</v>
      </c>
    </row>
    <row r="318" spans="1:13">
      <c r="A318" t="s">
        <v>507</v>
      </c>
      <c r="B318" t="s">
        <v>214</v>
      </c>
      <c r="C318" t="s">
        <v>15</v>
      </c>
      <c r="D318" t="s">
        <v>16</v>
      </c>
      <c r="E318" t="s">
        <v>39</v>
      </c>
      <c r="F318" t="s">
        <v>40</v>
      </c>
      <c r="G318" t="s">
        <v>41</v>
      </c>
      <c r="H318" s="2">
        <v>46159</v>
      </c>
      <c r="I318" s="3">
        <v>520</v>
      </c>
      <c r="J318">
        <v>24</v>
      </c>
      <c r="K318" t="s">
        <v>26</v>
      </c>
      <c r="L318" t="s">
        <v>50</v>
      </c>
      <c r="M318">
        <v>3</v>
      </c>
    </row>
    <row r="319" spans="1:13">
      <c r="A319" t="s">
        <v>508</v>
      </c>
      <c r="B319" t="s">
        <v>509</v>
      </c>
      <c r="C319" t="s">
        <v>24</v>
      </c>
      <c r="D319" t="s">
        <v>59</v>
      </c>
      <c r="E319" t="s">
        <v>56</v>
      </c>
      <c r="F319" t="s">
        <v>46</v>
      </c>
      <c r="G319" t="s">
        <v>31</v>
      </c>
      <c r="H319" s="2">
        <v>45576</v>
      </c>
      <c r="I319" s="3">
        <v>500</v>
      </c>
      <c r="J319">
        <v>25</v>
      </c>
      <c r="K319" t="s">
        <v>26</v>
      </c>
      <c r="L319" t="s">
        <v>32</v>
      </c>
      <c r="M319">
        <v>3</v>
      </c>
    </row>
    <row r="320" spans="1:13">
      <c r="A320" t="s">
        <v>510</v>
      </c>
      <c r="B320" t="s">
        <v>310</v>
      </c>
      <c r="C320" t="s">
        <v>44</v>
      </c>
      <c r="D320" t="s">
        <v>45</v>
      </c>
      <c r="E320" t="s">
        <v>39</v>
      </c>
      <c r="F320" t="s">
        <v>18</v>
      </c>
      <c r="G320" t="s">
        <v>41</v>
      </c>
      <c r="H320" s="2">
        <v>46090</v>
      </c>
      <c r="I320" s="3">
        <v>550</v>
      </c>
      <c r="J320">
        <v>26</v>
      </c>
      <c r="K320" t="s">
        <v>20</v>
      </c>
      <c r="L320" t="s">
        <v>21</v>
      </c>
      <c r="M320">
        <v>5</v>
      </c>
    </row>
    <row r="321" spans="1:13">
      <c r="A321" t="s">
        <v>511</v>
      </c>
      <c r="B321" t="s">
        <v>308</v>
      </c>
      <c r="C321" t="s">
        <v>15</v>
      </c>
      <c r="D321" t="s">
        <v>45</v>
      </c>
      <c r="E321" t="s">
        <v>88</v>
      </c>
      <c r="F321" t="s">
        <v>18</v>
      </c>
      <c r="G321" t="s">
        <v>19</v>
      </c>
      <c r="H321" s="2">
        <v>45295</v>
      </c>
      <c r="I321" s="3">
        <v>635</v>
      </c>
      <c r="J321">
        <v>28</v>
      </c>
      <c r="K321" t="s">
        <v>26</v>
      </c>
      <c r="L321" t="s">
        <v>32</v>
      </c>
      <c r="M321">
        <v>2</v>
      </c>
    </row>
    <row r="322" spans="1:13">
      <c r="A322" t="s">
        <v>512</v>
      </c>
      <c r="B322" t="s">
        <v>513</v>
      </c>
      <c r="C322" t="s">
        <v>24</v>
      </c>
      <c r="D322" t="s">
        <v>45</v>
      </c>
      <c r="E322" t="s">
        <v>88</v>
      </c>
      <c r="F322" t="s">
        <v>36</v>
      </c>
      <c r="G322" t="s">
        <v>19</v>
      </c>
      <c r="H322" s="2">
        <v>45701</v>
      </c>
      <c r="I322" s="3">
        <v>750</v>
      </c>
      <c r="J322">
        <v>63</v>
      </c>
      <c r="K322" t="s">
        <v>26</v>
      </c>
      <c r="L322" t="s">
        <v>32</v>
      </c>
      <c r="M322">
        <v>4</v>
      </c>
    </row>
    <row r="323" spans="1:13">
      <c r="A323" t="s">
        <v>514</v>
      </c>
      <c r="B323" t="s">
        <v>497</v>
      </c>
      <c r="C323" t="s">
        <v>44</v>
      </c>
      <c r="D323" t="s">
        <v>16</v>
      </c>
      <c r="E323" t="s">
        <v>88</v>
      </c>
      <c r="F323" t="s">
        <v>36</v>
      </c>
      <c r="G323" t="s">
        <v>31</v>
      </c>
      <c r="H323" s="2">
        <v>45498</v>
      </c>
      <c r="I323" s="3">
        <v>760</v>
      </c>
      <c r="J323">
        <v>71</v>
      </c>
      <c r="K323" t="s">
        <v>26</v>
      </c>
      <c r="L323" t="s">
        <v>32</v>
      </c>
      <c r="M323">
        <v>4</v>
      </c>
    </row>
    <row r="324" spans="1:13">
      <c r="A324" t="s">
        <v>515</v>
      </c>
      <c r="B324" t="s">
        <v>516</v>
      </c>
      <c r="C324" t="s">
        <v>35</v>
      </c>
      <c r="D324" t="s">
        <v>49</v>
      </c>
      <c r="E324" t="s">
        <v>17</v>
      </c>
      <c r="F324" t="s">
        <v>36</v>
      </c>
      <c r="G324" t="s">
        <v>19</v>
      </c>
      <c r="H324" s="2">
        <v>45823</v>
      </c>
      <c r="I324" s="3">
        <v>580</v>
      </c>
      <c r="J324">
        <v>42</v>
      </c>
      <c r="K324" t="s">
        <v>26</v>
      </c>
      <c r="L324" t="s">
        <v>32</v>
      </c>
      <c r="M324">
        <v>5</v>
      </c>
    </row>
    <row r="325" spans="1:13">
      <c r="A325" t="s">
        <v>517</v>
      </c>
      <c r="B325" t="s">
        <v>518</v>
      </c>
      <c r="C325" t="s">
        <v>15</v>
      </c>
      <c r="D325" t="s">
        <v>16</v>
      </c>
      <c r="E325" t="s">
        <v>53</v>
      </c>
      <c r="F325" t="s">
        <v>36</v>
      </c>
      <c r="G325" t="s">
        <v>19</v>
      </c>
      <c r="H325" s="2">
        <v>46011</v>
      </c>
      <c r="I325" s="3">
        <v>1195</v>
      </c>
      <c r="J325">
        <v>60</v>
      </c>
      <c r="K325" t="s">
        <v>26</v>
      </c>
      <c r="L325" t="s">
        <v>21</v>
      </c>
      <c r="M325">
        <v>4</v>
      </c>
    </row>
    <row r="326" spans="1:13">
      <c r="A326" t="s">
        <v>519</v>
      </c>
      <c r="B326" t="s">
        <v>520</v>
      </c>
      <c r="C326" t="s">
        <v>35</v>
      </c>
      <c r="D326" t="s">
        <v>59</v>
      </c>
      <c r="E326" t="s">
        <v>39</v>
      </c>
      <c r="F326" t="s">
        <v>60</v>
      </c>
      <c r="G326" t="s">
        <v>41</v>
      </c>
      <c r="H326" s="2">
        <v>45875</v>
      </c>
      <c r="I326" s="3">
        <v>445</v>
      </c>
      <c r="J326">
        <v>15</v>
      </c>
      <c r="K326" t="s">
        <v>26</v>
      </c>
      <c r="L326" t="s">
        <v>50</v>
      </c>
      <c r="M326">
        <v>4</v>
      </c>
    </row>
    <row r="327" spans="1:13">
      <c r="A327" t="s">
        <v>521</v>
      </c>
      <c r="B327" t="s">
        <v>58</v>
      </c>
      <c r="C327" t="s">
        <v>44</v>
      </c>
      <c r="D327" t="s">
        <v>59</v>
      </c>
      <c r="E327" t="s">
        <v>88</v>
      </c>
      <c r="F327" t="s">
        <v>46</v>
      </c>
      <c r="G327" t="s">
        <v>19</v>
      </c>
      <c r="H327" s="2">
        <v>45728</v>
      </c>
      <c r="I327" s="3">
        <v>290</v>
      </c>
      <c r="J327">
        <v>11</v>
      </c>
      <c r="K327" t="s">
        <v>26</v>
      </c>
      <c r="L327" t="s">
        <v>21</v>
      </c>
      <c r="M327">
        <v>4</v>
      </c>
    </row>
    <row r="328" spans="1:13">
      <c r="A328" t="s">
        <v>522</v>
      </c>
      <c r="B328" t="s">
        <v>28</v>
      </c>
      <c r="C328" t="s">
        <v>44</v>
      </c>
      <c r="D328" t="s">
        <v>29</v>
      </c>
      <c r="E328" t="s">
        <v>30</v>
      </c>
      <c r="F328" t="s">
        <v>40</v>
      </c>
      <c r="G328" t="s">
        <v>31</v>
      </c>
      <c r="H328" s="2">
        <v>45302</v>
      </c>
      <c r="I328" s="3">
        <v>530</v>
      </c>
      <c r="J328">
        <v>25</v>
      </c>
      <c r="K328" t="s">
        <v>26</v>
      </c>
      <c r="L328" t="s">
        <v>32</v>
      </c>
      <c r="M328">
        <v>3</v>
      </c>
    </row>
    <row r="329" spans="1:13">
      <c r="A329" t="s">
        <v>523</v>
      </c>
      <c r="B329" t="s">
        <v>524</v>
      </c>
      <c r="C329" t="s">
        <v>24</v>
      </c>
      <c r="D329" t="s">
        <v>59</v>
      </c>
      <c r="E329" t="s">
        <v>56</v>
      </c>
      <c r="F329" t="s">
        <v>60</v>
      </c>
      <c r="G329" t="s">
        <v>41</v>
      </c>
      <c r="H329" s="2">
        <v>45863</v>
      </c>
      <c r="I329" s="3">
        <v>410</v>
      </c>
      <c r="J329">
        <v>16</v>
      </c>
      <c r="K329" t="s">
        <v>26</v>
      </c>
      <c r="L329" t="s">
        <v>32</v>
      </c>
      <c r="M329">
        <v>4</v>
      </c>
    </row>
    <row r="330" spans="1:13">
      <c r="A330" t="s">
        <v>525</v>
      </c>
      <c r="B330" t="s">
        <v>175</v>
      </c>
      <c r="C330" t="s">
        <v>44</v>
      </c>
      <c r="D330" t="s">
        <v>45</v>
      </c>
      <c r="E330" t="s">
        <v>39</v>
      </c>
      <c r="F330" t="s">
        <v>36</v>
      </c>
      <c r="G330" t="s">
        <v>41</v>
      </c>
      <c r="H330" s="2">
        <v>45998</v>
      </c>
      <c r="I330" s="3">
        <v>395</v>
      </c>
      <c r="J330">
        <v>4</v>
      </c>
      <c r="K330" t="s">
        <v>26</v>
      </c>
      <c r="L330" t="s">
        <v>32</v>
      </c>
      <c r="M330">
        <v>4</v>
      </c>
    </row>
    <row r="331" spans="1:13">
      <c r="A331" t="s">
        <v>526</v>
      </c>
      <c r="B331" t="s">
        <v>148</v>
      </c>
      <c r="C331" t="s">
        <v>15</v>
      </c>
      <c r="D331" t="s">
        <v>49</v>
      </c>
      <c r="E331" t="s">
        <v>39</v>
      </c>
      <c r="F331" t="s">
        <v>40</v>
      </c>
      <c r="G331" t="s">
        <v>41</v>
      </c>
      <c r="H331" s="2">
        <v>45476</v>
      </c>
      <c r="I331" s="3">
        <v>475</v>
      </c>
      <c r="J331">
        <v>19</v>
      </c>
      <c r="K331" t="s">
        <v>20</v>
      </c>
      <c r="L331" t="s">
        <v>50</v>
      </c>
      <c r="M331">
        <v>5</v>
      </c>
    </row>
    <row r="332" spans="1:13">
      <c r="A332" t="s">
        <v>527</v>
      </c>
      <c r="B332" t="s">
        <v>482</v>
      </c>
      <c r="C332" t="s">
        <v>15</v>
      </c>
      <c r="D332" t="s">
        <v>45</v>
      </c>
      <c r="E332" t="s">
        <v>17</v>
      </c>
      <c r="F332" t="s">
        <v>60</v>
      </c>
      <c r="G332" t="s">
        <v>41</v>
      </c>
      <c r="H332" s="2">
        <v>45598</v>
      </c>
      <c r="I332" s="3">
        <v>570</v>
      </c>
      <c r="J332">
        <v>18</v>
      </c>
      <c r="K332" t="s">
        <v>26</v>
      </c>
      <c r="L332" t="s">
        <v>21</v>
      </c>
      <c r="M332">
        <v>3</v>
      </c>
    </row>
    <row r="333" spans="1:13">
      <c r="A333" t="s">
        <v>528</v>
      </c>
      <c r="B333" t="s">
        <v>324</v>
      </c>
      <c r="C333" t="s">
        <v>35</v>
      </c>
      <c r="D333" t="s">
        <v>45</v>
      </c>
      <c r="E333" t="s">
        <v>39</v>
      </c>
      <c r="F333" t="s">
        <v>36</v>
      </c>
      <c r="G333" t="s">
        <v>31</v>
      </c>
      <c r="H333" s="2">
        <v>46180</v>
      </c>
      <c r="I333" s="3">
        <v>795</v>
      </c>
      <c r="J333">
        <v>47</v>
      </c>
      <c r="K333" t="s">
        <v>26</v>
      </c>
      <c r="L333" t="s">
        <v>32</v>
      </c>
      <c r="M333">
        <v>3</v>
      </c>
    </row>
    <row r="334" spans="1:13">
      <c r="A334" t="s">
        <v>529</v>
      </c>
      <c r="B334" t="s">
        <v>361</v>
      </c>
      <c r="C334" t="s">
        <v>44</v>
      </c>
      <c r="D334" t="s">
        <v>49</v>
      </c>
      <c r="E334" t="s">
        <v>56</v>
      </c>
      <c r="F334" t="s">
        <v>36</v>
      </c>
      <c r="G334" t="s">
        <v>31</v>
      </c>
      <c r="H334" s="2">
        <v>45470</v>
      </c>
      <c r="I334" s="3">
        <v>640</v>
      </c>
      <c r="J334">
        <v>54</v>
      </c>
      <c r="K334" t="s">
        <v>26</v>
      </c>
      <c r="L334" t="s">
        <v>32</v>
      </c>
      <c r="M334">
        <v>5</v>
      </c>
    </row>
    <row r="335" spans="1:13">
      <c r="A335" t="s">
        <v>530</v>
      </c>
      <c r="B335" t="s">
        <v>137</v>
      </c>
      <c r="C335" t="s">
        <v>24</v>
      </c>
      <c r="D335" t="s">
        <v>16</v>
      </c>
      <c r="E335" t="s">
        <v>56</v>
      </c>
      <c r="F335" t="s">
        <v>18</v>
      </c>
      <c r="G335" t="s">
        <v>31</v>
      </c>
      <c r="H335" s="2">
        <v>45826</v>
      </c>
      <c r="I335" s="3">
        <v>240</v>
      </c>
      <c r="J335">
        <v>25</v>
      </c>
      <c r="K335" t="s">
        <v>26</v>
      </c>
      <c r="L335" t="s">
        <v>32</v>
      </c>
      <c r="M335">
        <v>2</v>
      </c>
    </row>
    <row r="336" spans="1:13">
      <c r="A336" t="s">
        <v>531</v>
      </c>
      <c r="B336" t="s">
        <v>73</v>
      </c>
      <c r="C336" t="s">
        <v>44</v>
      </c>
      <c r="D336" t="s">
        <v>59</v>
      </c>
      <c r="E336" t="s">
        <v>39</v>
      </c>
      <c r="F336" t="s">
        <v>60</v>
      </c>
      <c r="G336" t="s">
        <v>41</v>
      </c>
      <c r="H336" s="2">
        <v>45884</v>
      </c>
      <c r="I336" s="3">
        <v>385</v>
      </c>
      <c r="J336">
        <v>13</v>
      </c>
      <c r="K336" t="s">
        <v>26</v>
      </c>
      <c r="L336" t="s">
        <v>32</v>
      </c>
      <c r="M336">
        <v>4</v>
      </c>
    </row>
    <row r="337" spans="1:13">
      <c r="A337" t="s">
        <v>532</v>
      </c>
      <c r="B337" t="s">
        <v>233</v>
      </c>
      <c r="C337" t="s">
        <v>35</v>
      </c>
      <c r="D337" t="s">
        <v>49</v>
      </c>
      <c r="E337" t="s">
        <v>39</v>
      </c>
      <c r="F337" t="s">
        <v>18</v>
      </c>
      <c r="G337" t="s">
        <v>19</v>
      </c>
      <c r="H337" s="2">
        <v>46145</v>
      </c>
      <c r="I337" s="3">
        <v>715</v>
      </c>
      <c r="J337">
        <v>33</v>
      </c>
      <c r="K337" t="s">
        <v>20</v>
      </c>
      <c r="L337" t="s">
        <v>50</v>
      </c>
      <c r="M337">
        <v>3</v>
      </c>
    </row>
    <row r="338" spans="1:13">
      <c r="A338" t="s">
        <v>533</v>
      </c>
      <c r="B338" t="s">
        <v>534</v>
      </c>
      <c r="C338" t="s">
        <v>35</v>
      </c>
      <c r="D338" t="s">
        <v>25</v>
      </c>
      <c r="E338" t="s">
        <v>88</v>
      </c>
      <c r="F338" t="s">
        <v>36</v>
      </c>
      <c r="G338" t="s">
        <v>31</v>
      </c>
      <c r="H338" s="2">
        <v>45435</v>
      </c>
      <c r="I338" s="3">
        <v>945</v>
      </c>
      <c r="J338">
        <v>58</v>
      </c>
      <c r="K338" t="s">
        <v>26</v>
      </c>
      <c r="L338" t="s">
        <v>32</v>
      </c>
      <c r="M338">
        <v>5</v>
      </c>
    </row>
    <row r="339" spans="1:13">
      <c r="A339" t="s">
        <v>535</v>
      </c>
      <c r="B339" t="s">
        <v>536</v>
      </c>
      <c r="C339" t="s">
        <v>15</v>
      </c>
      <c r="D339" t="s">
        <v>29</v>
      </c>
      <c r="E339" t="s">
        <v>17</v>
      </c>
      <c r="F339" t="s">
        <v>40</v>
      </c>
      <c r="G339" t="s">
        <v>31</v>
      </c>
      <c r="H339" s="2">
        <v>46191</v>
      </c>
      <c r="I339" s="3">
        <v>185</v>
      </c>
      <c r="J339">
        <v>14</v>
      </c>
      <c r="K339" t="s">
        <v>26</v>
      </c>
      <c r="L339" t="s">
        <v>32</v>
      </c>
      <c r="M339">
        <v>2</v>
      </c>
    </row>
    <row r="340" spans="1:13">
      <c r="A340" t="s">
        <v>537</v>
      </c>
      <c r="B340" t="s">
        <v>182</v>
      </c>
      <c r="C340" t="s">
        <v>44</v>
      </c>
      <c r="D340" t="s">
        <v>16</v>
      </c>
      <c r="E340" t="s">
        <v>30</v>
      </c>
      <c r="F340" t="s">
        <v>46</v>
      </c>
      <c r="G340" t="s">
        <v>41</v>
      </c>
      <c r="H340" s="2">
        <v>45379</v>
      </c>
      <c r="I340" s="3">
        <v>440</v>
      </c>
      <c r="J340">
        <v>25</v>
      </c>
      <c r="K340" t="s">
        <v>20</v>
      </c>
      <c r="L340" t="s">
        <v>32</v>
      </c>
      <c r="M340">
        <v>4</v>
      </c>
    </row>
    <row r="341" spans="1:13">
      <c r="A341" t="s">
        <v>538</v>
      </c>
      <c r="B341" t="s">
        <v>164</v>
      </c>
      <c r="C341" t="s">
        <v>24</v>
      </c>
      <c r="D341" t="s">
        <v>25</v>
      </c>
      <c r="E341" t="s">
        <v>53</v>
      </c>
      <c r="F341" t="s">
        <v>36</v>
      </c>
      <c r="G341" t="s">
        <v>31</v>
      </c>
      <c r="H341" s="2">
        <v>45968</v>
      </c>
      <c r="I341" s="3">
        <v>375</v>
      </c>
      <c r="J341">
        <v>25</v>
      </c>
      <c r="K341" t="s">
        <v>20</v>
      </c>
      <c r="L341" t="s">
        <v>32</v>
      </c>
      <c r="M341">
        <v>4</v>
      </c>
    </row>
    <row r="342" spans="1:13">
      <c r="A342" t="s">
        <v>539</v>
      </c>
      <c r="B342" t="s">
        <v>96</v>
      </c>
      <c r="C342" t="s">
        <v>15</v>
      </c>
      <c r="D342" t="s">
        <v>59</v>
      </c>
      <c r="E342" t="s">
        <v>39</v>
      </c>
      <c r="F342" t="s">
        <v>36</v>
      </c>
      <c r="G342" t="s">
        <v>41</v>
      </c>
      <c r="H342" s="2">
        <v>46090</v>
      </c>
      <c r="I342" s="3">
        <v>1570</v>
      </c>
      <c r="J342">
        <v>78</v>
      </c>
      <c r="K342" t="s">
        <v>26</v>
      </c>
      <c r="L342" t="s">
        <v>32</v>
      </c>
      <c r="M342">
        <v>4</v>
      </c>
    </row>
    <row r="343" spans="1:13">
      <c r="A343" t="s">
        <v>540</v>
      </c>
      <c r="B343" t="s">
        <v>351</v>
      </c>
      <c r="C343" t="s">
        <v>44</v>
      </c>
      <c r="D343" t="s">
        <v>45</v>
      </c>
      <c r="E343" t="s">
        <v>53</v>
      </c>
      <c r="F343" t="s">
        <v>60</v>
      </c>
      <c r="G343" t="s">
        <v>19</v>
      </c>
      <c r="H343" s="2">
        <v>46057</v>
      </c>
      <c r="I343" s="3">
        <v>245</v>
      </c>
      <c r="J343">
        <v>13</v>
      </c>
      <c r="K343" t="s">
        <v>26</v>
      </c>
      <c r="L343" t="s">
        <v>32</v>
      </c>
      <c r="M343">
        <v>5</v>
      </c>
    </row>
    <row r="344" spans="1:13">
      <c r="A344" t="s">
        <v>541</v>
      </c>
      <c r="B344" t="s">
        <v>94</v>
      </c>
      <c r="C344" t="s">
        <v>35</v>
      </c>
      <c r="D344" t="s">
        <v>45</v>
      </c>
      <c r="E344" t="s">
        <v>88</v>
      </c>
      <c r="F344" t="s">
        <v>60</v>
      </c>
      <c r="G344" t="s">
        <v>41</v>
      </c>
      <c r="H344" s="2">
        <v>45707</v>
      </c>
      <c r="I344" s="3">
        <v>295</v>
      </c>
      <c r="J344">
        <v>3</v>
      </c>
      <c r="K344" t="s">
        <v>20</v>
      </c>
      <c r="L344" t="s">
        <v>21</v>
      </c>
      <c r="M344">
        <v>3</v>
      </c>
    </row>
    <row r="345" spans="1:13">
      <c r="A345" t="s">
        <v>542</v>
      </c>
      <c r="B345" t="s">
        <v>122</v>
      </c>
      <c r="C345" t="s">
        <v>35</v>
      </c>
      <c r="D345" t="s">
        <v>45</v>
      </c>
      <c r="E345" t="s">
        <v>53</v>
      </c>
      <c r="F345" t="s">
        <v>60</v>
      </c>
      <c r="G345" t="s">
        <v>19</v>
      </c>
      <c r="H345" s="2">
        <v>46135</v>
      </c>
      <c r="I345" s="3">
        <v>260</v>
      </c>
      <c r="J345">
        <v>6</v>
      </c>
      <c r="K345" t="s">
        <v>26</v>
      </c>
      <c r="L345" t="s">
        <v>32</v>
      </c>
      <c r="M345">
        <v>3</v>
      </c>
    </row>
    <row r="346" spans="1:13">
      <c r="A346" t="s">
        <v>543</v>
      </c>
      <c r="B346" t="s">
        <v>187</v>
      </c>
      <c r="C346" t="s">
        <v>44</v>
      </c>
      <c r="D346" t="s">
        <v>29</v>
      </c>
      <c r="E346" t="s">
        <v>39</v>
      </c>
      <c r="F346" t="s">
        <v>60</v>
      </c>
      <c r="G346" t="s">
        <v>41</v>
      </c>
      <c r="H346" s="2">
        <v>45306</v>
      </c>
      <c r="I346" s="3">
        <v>370</v>
      </c>
      <c r="J346">
        <v>7</v>
      </c>
      <c r="K346" t="s">
        <v>26</v>
      </c>
      <c r="L346" t="s">
        <v>32</v>
      </c>
      <c r="M346">
        <v>4</v>
      </c>
    </row>
    <row r="347" spans="1:13">
      <c r="A347" t="s">
        <v>544</v>
      </c>
      <c r="B347" t="s">
        <v>545</v>
      </c>
      <c r="C347" t="s">
        <v>35</v>
      </c>
      <c r="D347" t="s">
        <v>49</v>
      </c>
      <c r="E347" t="s">
        <v>39</v>
      </c>
      <c r="F347" t="s">
        <v>40</v>
      </c>
      <c r="G347" t="s">
        <v>31</v>
      </c>
      <c r="H347" s="2">
        <v>45451</v>
      </c>
      <c r="I347" s="3">
        <v>470</v>
      </c>
      <c r="J347">
        <v>21</v>
      </c>
      <c r="K347" t="s">
        <v>20</v>
      </c>
      <c r="L347" t="s">
        <v>50</v>
      </c>
      <c r="M347">
        <v>4</v>
      </c>
    </row>
    <row r="348" spans="1:13">
      <c r="A348" t="s">
        <v>546</v>
      </c>
      <c r="B348" t="s">
        <v>482</v>
      </c>
      <c r="C348" t="s">
        <v>35</v>
      </c>
      <c r="D348" t="s">
        <v>29</v>
      </c>
      <c r="E348" t="s">
        <v>39</v>
      </c>
      <c r="F348" t="s">
        <v>18</v>
      </c>
      <c r="G348" t="s">
        <v>19</v>
      </c>
      <c r="H348" s="2">
        <v>45313</v>
      </c>
      <c r="I348" s="3">
        <v>495</v>
      </c>
      <c r="J348">
        <v>27</v>
      </c>
      <c r="K348" t="s">
        <v>26</v>
      </c>
      <c r="L348" t="s">
        <v>32</v>
      </c>
      <c r="M348">
        <v>5</v>
      </c>
    </row>
    <row r="349" spans="1:13">
      <c r="A349" t="s">
        <v>547</v>
      </c>
      <c r="B349" t="s">
        <v>548</v>
      </c>
      <c r="C349" t="s">
        <v>24</v>
      </c>
      <c r="D349" t="s">
        <v>25</v>
      </c>
      <c r="E349" t="s">
        <v>56</v>
      </c>
      <c r="F349" t="s">
        <v>60</v>
      </c>
      <c r="G349" t="s">
        <v>19</v>
      </c>
      <c r="H349" s="2">
        <v>45623</v>
      </c>
      <c r="I349" s="3">
        <v>190</v>
      </c>
      <c r="J349">
        <v>4</v>
      </c>
      <c r="K349" t="s">
        <v>26</v>
      </c>
      <c r="L349" t="s">
        <v>32</v>
      </c>
      <c r="M349">
        <v>3</v>
      </c>
    </row>
    <row r="350" spans="1:13">
      <c r="A350" t="s">
        <v>549</v>
      </c>
      <c r="B350" t="s">
        <v>324</v>
      </c>
      <c r="C350" t="s">
        <v>35</v>
      </c>
      <c r="D350" t="s">
        <v>49</v>
      </c>
      <c r="E350" t="s">
        <v>30</v>
      </c>
      <c r="F350" t="s">
        <v>60</v>
      </c>
      <c r="G350" t="s">
        <v>31</v>
      </c>
      <c r="H350" s="2">
        <v>46030</v>
      </c>
      <c r="I350" s="3">
        <v>290</v>
      </c>
      <c r="J350">
        <v>22</v>
      </c>
      <c r="K350" t="s">
        <v>20</v>
      </c>
      <c r="L350" t="s">
        <v>21</v>
      </c>
      <c r="M350">
        <v>4</v>
      </c>
    </row>
    <row r="351" spans="1:13">
      <c r="A351" t="s">
        <v>550</v>
      </c>
      <c r="B351" t="s">
        <v>23</v>
      </c>
      <c r="C351" t="s">
        <v>15</v>
      </c>
      <c r="D351" t="s">
        <v>45</v>
      </c>
      <c r="E351" t="s">
        <v>56</v>
      </c>
      <c r="F351" t="s">
        <v>60</v>
      </c>
      <c r="G351" t="s">
        <v>19</v>
      </c>
      <c r="H351" s="2">
        <v>45377</v>
      </c>
      <c r="I351" s="3">
        <v>285</v>
      </c>
      <c r="J351">
        <v>8</v>
      </c>
      <c r="K351" t="s">
        <v>20</v>
      </c>
      <c r="L351" t="s">
        <v>32</v>
      </c>
      <c r="M351">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437F2-44B6-4B75-9EFA-9A9153A97573}">
  <dimension ref="A1:N16"/>
  <sheetViews>
    <sheetView workbookViewId="0">
      <selection activeCell="L2" sqref="L2"/>
    </sheetView>
  </sheetViews>
  <sheetFormatPr defaultRowHeight="13.8"/>
  <cols>
    <col min="1" max="1" width="11.3984375" bestFit="1" customWidth="1"/>
    <col min="2" max="2" width="20.5" bestFit="1" customWidth="1"/>
    <col min="4" max="4" width="17.5" bestFit="1" customWidth="1"/>
    <col min="5" max="5" width="20.5" bestFit="1" customWidth="1"/>
    <col min="6" max="6" width="16" bestFit="1" customWidth="1"/>
    <col min="7" max="7" width="15" bestFit="1" customWidth="1"/>
    <col min="8" max="8" width="16.59765625" bestFit="1" customWidth="1"/>
    <col min="9" max="9" width="11.3984375" bestFit="1" customWidth="1"/>
    <col min="10" max="10" width="16.59765625" bestFit="1" customWidth="1"/>
    <col min="11" max="11" width="16.796875" bestFit="1" customWidth="1"/>
    <col min="12" max="12" width="20.5" bestFit="1" customWidth="1"/>
    <col min="13" max="13" width="16.59765625" bestFit="1" customWidth="1"/>
    <col min="14" max="14" width="14.69921875" bestFit="1" customWidth="1"/>
  </cols>
  <sheetData>
    <row r="1" spans="1:14">
      <c r="A1" s="6" t="s">
        <v>2</v>
      </c>
      <c r="B1" t="s">
        <v>608</v>
      </c>
      <c r="D1" s="6" t="s">
        <v>5</v>
      </c>
      <c r="E1" t="s">
        <v>609</v>
      </c>
      <c r="G1" s="6" t="s">
        <v>6</v>
      </c>
      <c r="H1" t="s">
        <v>609</v>
      </c>
      <c r="K1" s="6" t="s">
        <v>11</v>
      </c>
      <c r="L1" t="s">
        <v>608</v>
      </c>
      <c r="M1" t="s">
        <v>609</v>
      </c>
      <c r="N1" t="s">
        <v>610</v>
      </c>
    </row>
    <row r="2" spans="1:14">
      <c r="A2" s="7" t="s">
        <v>15</v>
      </c>
      <c r="B2">
        <v>87</v>
      </c>
      <c r="D2" s="7" t="s">
        <v>46</v>
      </c>
      <c r="E2" s="3">
        <v>18195</v>
      </c>
      <c r="G2" s="7" t="s">
        <v>19</v>
      </c>
      <c r="H2" s="3">
        <v>48370</v>
      </c>
      <c r="K2" s="7" t="s">
        <v>21</v>
      </c>
      <c r="L2">
        <v>74</v>
      </c>
      <c r="M2" s="3">
        <v>34780</v>
      </c>
      <c r="N2" s="8">
        <v>0.21142857142857144</v>
      </c>
    </row>
    <row r="3" spans="1:14">
      <c r="A3" s="7" t="s">
        <v>35</v>
      </c>
      <c r="B3">
        <v>76</v>
      </c>
      <c r="D3" s="7" t="s">
        <v>60</v>
      </c>
      <c r="E3" s="3">
        <v>24170</v>
      </c>
      <c r="G3" s="7" t="s">
        <v>31</v>
      </c>
      <c r="H3" s="3">
        <v>44445</v>
      </c>
      <c r="K3" s="7" t="s">
        <v>32</v>
      </c>
      <c r="L3">
        <v>218</v>
      </c>
      <c r="M3" s="3">
        <v>93220</v>
      </c>
      <c r="N3" s="8">
        <v>0.62285714285714289</v>
      </c>
    </row>
    <row r="4" spans="1:14">
      <c r="A4" s="7" t="s">
        <v>24</v>
      </c>
      <c r="B4">
        <v>104</v>
      </c>
      <c r="D4" s="7" t="s">
        <v>40</v>
      </c>
      <c r="E4" s="3">
        <v>24345</v>
      </c>
      <c r="G4" s="7" t="s">
        <v>41</v>
      </c>
      <c r="H4" s="3">
        <v>61785</v>
      </c>
      <c r="K4" s="7" t="s">
        <v>50</v>
      </c>
      <c r="L4">
        <v>58</v>
      </c>
      <c r="M4" s="3">
        <v>26600</v>
      </c>
      <c r="N4" s="8">
        <v>0.1657142857142857</v>
      </c>
    </row>
    <row r="5" spans="1:14">
      <c r="A5" s="7" t="s">
        <v>44</v>
      </c>
      <c r="B5">
        <v>83</v>
      </c>
      <c r="D5" s="7" t="s">
        <v>18</v>
      </c>
      <c r="E5" s="3">
        <v>43430</v>
      </c>
      <c r="G5" s="7" t="s">
        <v>607</v>
      </c>
      <c r="H5" s="3">
        <v>154600</v>
      </c>
      <c r="K5" s="7" t="s">
        <v>607</v>
      </c>
      <c r="L5">
        <v>350</v>
      </c>
      <c r="M5" s="3">
        <v>154600</v>
      </c>
      <c r="N5" s="8">
        <v>1</v>
      </c>
    </row>
    <row r="6" spans="1:14">
      <c r="A6" s="7" t="s">
        <v>607</v>
      </c>
      <c r="B6">
        <v>350</v>
      </c>
      <c r="D6" s="7" t="s">
        <v>36</v>
      </c>
      <c r="E6" s="3">
        <v>44460</v>
      </c>
    </row>
    <row r="7" spans="1:14">
      <c r="D7" s="7" t="s">
        <v>607</v>
      </c>
      <c r="E7" s="3">
        <v>154600</v>
      </c>
    </row>
    <row r="10" spans="1:14">
      <c r="A10" s="6" t="s">
        <v>5</v>
      </c>
      <c r="B10" t="s">
        <v>611</v>
      </c>
      <c r="D10" s="6" t="s">
        <v>612</v>
      </c>
      <c r="E10" t="s">
        <v>608</v>
      </c>
      <c r="F10" t="s">
        <v>613</v>
      </c>
      <c r="G10" t="s">
        <v>614</v>
      </c>
      <c r="I10" s="6" t="s">
        <v>2</v>
      </c>
      <c r="J10" t="s">
        <v>609</v>
      </c>
    </row>
    <row r="11" spans="1:14">
      <c r="A11" s="7" t="s">
        <v>40</v>
      </c>
      <c r="B11" s="9">
        <v>3.6621621621621623</v>
      </c>
      <c r="D11" s="7" t="s">
        <v>26</v>
      </c>
      <c r="E11">
        <v>273</v>
      </c>
      <c r="F11" s="3">
        <v>119345</v>
      </c>
      <c r="G11" s="8">
        <v>0.78</v>
      </c>
      <c r="I11" s="7" t="s">
        <v>15</v>
      </c>
      <c r="J11" s="3">
        <v>42240</v>
      </c>
    </row>
    <row r="12" spans="1:14">
      <c r="A12" s="7" t="s">
        <v>18</v>
      </c>
      <c r="B12" s="9">
        <v>3.716417910447761</v>
      </c>
      <c r="D12" s="7" t="s">
        <v>20</v>
      </c>
      <c r="E12">
        <v>77</v>
      </c>
      <c r="F12" s="3">
        <v>35255</v>
      </c>
      <c r="G12" s="8">
        <v>0.22</v>
      </c>
      <c r="I12" s="7" t="s">
        <v>35</v>
      </c>
      <c r="J12" s="3">
        <v>36300</v>
      </c>
    </row>
    <row r="13" spans="1:14">
      <c r="A13" s="7" t="s">
        <v>46</v>
      </c>
      <c r="B13" s="9">
        <v>3.7285714285714286</v>
      </c>
      <c r="D13" s="7" t="s">
        <v>607</v>
      </c>
      <c r="E13">
        <v>350</v>
      </c>
      <c r="F13" s="3">
        <v>154600</v>
      </c>
      <c r="G13" s="8">
        <v>1</v>
      </c>
      <c r="I13" s="7" t="s">
        <v>24</v>
      </c>
      <c r="J13" s="3">
        <v>44425</v>
      </c>
    </row>
    <row r="14" spans="1:14">
      <c r="A14" s="7" t="s">
        <v>60</v>
      </c>
      <c r="B14" s="9">
        <v>3.810810810810811</v>
      </c>
      <c r="I14" s="7" t="s">
        <v>44</v>
      </c>
      <c r="J14" s="3">
        <v>31635</v>
      </c>
    </row>
    <row r="15" spans="1:14">
      <c r="A15" s="7" t="s">
        <v>36</v>
      </c>
      <c r="B15" s="9">
        <v>3.8153846153846156</v>
      </c>
      <c r="I15" s="7" t="s">
        <v>607</v>
      </c>
      <c r="J15" s="3">
        <v>154600</v>
      </c>
    </row>
    <row r="16" spans="1:14">
      <c r="A16" s="7" t="s">
        <v>607</v>
      </c>
      <c r="B16" s="9">
        <v>3.7457142857142856</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1E1E0-7226-4362-876E-84E0970275F6}">
  <dimension ref="B2:M8"/>
  <sheetViews>
    <sheetView showGridLines="0" tabSelected="1" topLeftCell="A7" workbookViewId="0">
      <selection activeCell="P18" sqref="P18"/>
    </sheetView>
  </sheetViews>
  <sheetFormatPr defaultRowHeight="13.8"/>
  <cols>
    <col min="5" max="5" width="24.5" bestFit="1" customWidth="1"/>
  </cols>
  <sheetData>
    <row r="2" spans="2:13" ht="28.2">
      <c r="B2" s="10" t="s">
        <v>615</v>
      </c>
    </row>
    <row r="4" spans="2:13">
      <c r="B4" s="10" t="s">
        <v>616</v>
      </c>
    </row>
    <row r="6" spans="2:13">
      <c r="B6" s="11" t="s">
        <v>617</v>
      </c>
      <c r="C6" s="11"/>
      <c r="D6" s="11"/>
      <c r="E6" s="11" t="s">
        <v>618</v>
      </c>
      <c r="H6" s="11" t="s">
        <v>619</v>
      </c>
      <c r="I6" s="11"/>
      <c r="J6" s="11"/>
      <c r="K6" s="11" t="s">
        <v>620</v>
      </c>
      <c r="L6" s="11"/>
      <c r="M6" s="11"/>
    </row>
    <row r="7" spans="2:13" ht="30">
      <c r="B7" s="12">
        <f>GETPIVOTDATA("Customer ID",'03_EDA_Analysis'!$A$1)</f>
        <v>350</v>
      </c>
      <c r="C7" s="11"/>
      <c r="D7" s="11"/>
      <c r="E7" s="13">
        <f>GETPIVOTDATA("Monthly Charge",'03_EDA_Analysis'!$D$1)</f>
        <v>154600</v>
      </c>
      <c r="H7" s="12">
        <f>GETPIVOTDATA("Number of Customers",'03_EDA_Analysis'!$D$10,"Customer Status","Active")</f>
        <v>273</v>
      </c>
      <c r="I7" s="11"/>
      <c r="J7" s="11"/>
      <c r="K7" s="12">
        <f>GETPIVOTDATA("Number of Customers",'03_EDA_Analysis'!$K$1,"Payment Status","Overdue")</f>
        <v>74</v>
      </c>
      <c r="L7" s="11"/>
      <c r="M7" s="11"/>
    </row>
    <row r="8" spans="2:13">
      <c r="B8" s="11"/>
      <c r="C8" s="11"/>
      <c r="D8" s="11"/>
      <c r="E8" s="11"/>
      <c r="H8" s="11"/>
      <c r="I8" s="11"/>
      <c r="J8" s="11"/>
      <c r="K8" s="11"/>
      <c r="L8" s="11"/>
      <c r="M8"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8"/>
  <sheetViews>
    <sheetView workbookViewId="0">
      <selection sqref="A1:F1"/>
    </sheetView>
  </sheetViews>
  <sheetFormatPr defaultRowHeight="13.8"/>
  <cols>
    <col min="1" max="1" width="16" customWidth="1"/>
    <col min="2" max="2" width="40" customWidth="1"/>
    <col min="3" max="3" width="38" customWidth="1"/>
    <col min="4" max="4" width="35" customWidth="1"/>
    <col min="5" max="5" width="12" customWidth="1"/>
    <col min="6" max="6" width="34" customWidth="1"/>
  </cols>
  <sheetData>
    <row r="1" spans="1:6" ht="21">
      <c r="A1" s="14" t="s">
        <v>554</v>
      </c>
      <c r="B1" s="14"/>
      <c r="C1" s="14"/>
      <c r="D1" s="14"/>
      <c r="E1" s="14"/>
      <c r="F1" s="14"/>
    </row>
    <row r="3" spans="1:6">
      <c r="A3" s="15" t="s">
        <v>555</v>
      </c>
      <c r="B3" s="15"/>
      <c r="C3" s="15"/>
      <c r="D3" s="15"/>
      <c r="E3" s="15"/>
      <c r="F3" s="15"/>
    </row>
    <row r="5" spans="1:6">
      <c r="A5" s="5" t="s">
        <v>556</v>
      </c>
      <c r="B5" s="5" t="s">
        <v>557</v>
      </c>
      <c r="C5" s="5" t="s">
        <v>558</v>
      </c>
      <c r="D5" s="5" t="s">
        <v>559</v>
      </c>
      <c r="E5" s="5" t="s">
        <v>560</v>
      </c>
      <c r="F5" s="5" t="s">
        <v>561</v>
      </c>
    </row>
    <row r="6" spans="1:6" ht="27.6">
      <c r="A6" s="4" t="s">
        <v>562</v>
      </c>
      <c r="B6" s="4" t="s">
        <v>563</v>
      </c>
      <c r="C6" s="4" t="s">
        <v>564</v>
      </c>
      <c r="D6" s="4" t="s">
        <v>565</v>
      </c>
      <c r="E6" s="4" t="s">
        <v>566</v>
      </c>
      <c r="F6" s="4" t="s">
        <v>567</v>
      </c>
    </row>
    <row r="7" spans="1:6" ht="27.6">
      <c r="A7" s="4" t="s">
        <v>568</v>
      </c>
      <c r="B7" s="4" t="s">
        <v>569</v>
      </c>
      <c r="C7" s="4" t="s">
        <v>570</v>
      </c>
      <c r="D7" s="4" t="s">
        <v>571</v>
      </c>
      <c r="E7" s="4" t="s">
        <v>572</v>
      </c>
      <c r="F7" s="4" t="s">
        <v>573</v>
      </c>
    </row>
    <row r="8" spans="1:6" ht="41.4">
      <c r="A8" s="4" t="s">
        <v>574</v>
      </c>
      <c r="B8" s="4" t="s">
        <v>575</v>
      </c>
      <c r="C8" s="4" t="s">
        <v>576</v>
      </c>
      <c r="D8" s="4" t="s">
        <v>577</v>
      </c>
      <c r="E8" s="4" t="s">
        <v>578</v>
      </c>
      <c r="F8" s="4" t="s">
        <v>579</v>
      </c>
    </row>
    <row r="9" spans="1:6">
      <c r="A9" s="4" t="s">
        <v>580</v>
      </c>
      <c r="B9" s="4" t="s">
        <v>581</v>
      </c>
      <c r="C9" s="4" t="s">
        <v>582</v>
      </c>
      <c r="D9" s="4" t="s">
        <v>583</v>
      </c>
      <c r="E9" s="4" t="s">
        <v>578</v>
      </c>
      <c r="F9" s="4" t="s">
        <v>584</v>
      </c>
    </row>
    <row r="10" spans="1:6" ht="27.6">
      <c r="A10" s="4" t="s">
        <v>585</v>
      </c>
      <c r="B10" s="4" t="s">
        <v>586</v>
      </c>
      <c r="C10" s="4" t="s">
        <v>587</v>
      </c>
      <c r="D10" s="4" t="s">
        <v>588</v>
      </c>
      <c r="E10" s="4" t="s">
        <v>578</v>
      </c>
      <c r="F10" s="4" t="s">
        <v>589</v>
      </c>
    </row>
    <row r="11" spans="1:6" ht="27.6">
      <c r="A11" s="4" t="s">
        <v>590</v>
      </c>
      <c r="B11" s="4" t="s">
        <v>591</v>
      </c>
      <c r="C11" s="4" t="s">
        <v>592</v>
      </c>
      <c r="D11" s="4" t="s">
        <v>593</v>
      </c>
      <c r="E11" s="4" t="s">
        <v>594</v>
      </c>
      <c r="F11" s="4" t="s">
        <v>595</v>
      </c>
    </row>
    <row r="12" spans="1:6">
      <c r="A12" s="4"/>
      <c r="B12" s="4"/>
      <c r="C12" s="4"/>
      <c r="D12" s="4"/>
      <c r="E12" s="4"/>
      <c r="F12" s="4"/>
    </row>
    <row r="13" spans="1:6" ht="41.4">
      <c r="A13" s="4" t="s">
        <v>596</v>
      </c>
      <c r="B13" s="4"/>
      <c r="C13" s="4"/>
      <c r="D13" s="4"/>
      <c r="E13" s="4"/>
      <c r="F13" s="4"/>
    </row>
    <row r="14" spans="1:6" ht="27.6">
      <c r="A14" s="4" t="s">
        <v>597</v>
      </c>
      <c r="B14" s="4" t="s">
        <v>598</v>
      </c>
      <c r="C14" s="4"/>
      <c r="D14" s="4"/>
      <c r="E14" s="4"/>
      <c r="F14" s="4"/>
    </row>
    <row r="15" spans="1:6">
      <c r="A15" s="4" t="s">
        <v>599</v>
      </c>
      <c r="B15" s="4" t="s">
        <v>600</v>
      </c>
      <c r="C15" s="4"/>
      <c r="D15" s="4"/>
      <c r="E15" s="4"/>
      <c r="F15" s="4"/>
    </row>
    <row r="16" spans="1:6" ht="27.6">
      <c r="A16" s="4" t="s">
        <v>601</v>
      </c>
      <c r="B16" s="4" t="s">
        <v>602</v>
      </c>
      <c r="C16" s="4"/>
      <c r="D16" s="4"/>
      <c r="E16" s="4"/>
      <c r="F16" s="4"/>
    </row>
    <row r="17" spans="1:6" ht="27.6">
      <c r="A17" s="4" t="s">
        <v>603</v>
      </c>
      <c r="B17" s="4" t="s">
        <v>604</v>
      </c>
      <c r="C17" s="4"/>
      <c r="D17" s="4"/>
      <c r="E17" s="4"/>
      <c r="F17" s="4"/>
    </row>
    <row r="18" spans="1:6" ht="27.6">
      <c r="A18" s="4" t="s">
        <v>605</v>
      </c>
      <c r="B18" s="4" t="s">
        <v>606</v>
      </c>
      <c r="C18" s="4"/>
      <c r="D18" s="4"/>
      <c r="E18" s="4"/>
      <c r="F18" s="4"/>
    </row>
  </sheetData>
  <mergeCells count="2">
    <mergeCell ref="A1:F1"/>
    <mergeCell ref="A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01_Raw_Telecom_Data</vt:lpstr>
      <vt:lpstr>02_Cleaned_Data</vt:lpstr>
      <vt:lpstr>03_EDA_Analysis</vt:lpstr>
      <vt:lpstr>04_Dashboard</vt:lpstr>
      <vt:lpstr>05_Project_Guide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carm toni</cp:lastModifiedBy>
  <dcterms:created xsi:type="dcterms:W3CDTF">2026-08-25T02:59:29Z</dcterms:created>
  <dcterms:modified xsi:type="dcterms:W3CDTF">2026-08-26T23:17:11Z</dcterms:modified>
</cp:coreProperties>
</file>